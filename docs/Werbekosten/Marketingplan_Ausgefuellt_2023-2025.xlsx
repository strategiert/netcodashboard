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13_ncr:1_{8B942C15-5BDA-4D58-8C97-8F9910192F4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igital Marketing Budget" sheetId="1" r:id="rId1"/>
    <sheet name="Traffic" sheetId="2" r:id="rId2"/>
    <sheet name="Umsatz" sheetId="3" r:id="rId3"/>
    <sheet name="Gewinn" sheetId="4" r:id="rId4"/>
    <sheet name="Kanäle" sheetId="5" r:id="rId5"/>
    <sheet name="Tabellenblatt1" sheetId="6" r:id="rId6"/>
    <sheet name="Inve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yAanblwH/IeQej7KI1w/Ig8ar0dSXfc7LLP1wk2m/qs="/>
    </ext>
  </extLst>
</workbook>
</file>

<file path=xl/calcChain.xml><?xml version="1.0" encoding="utf-8"?>
<calcChain xmlns="http://schemas.openxmlformats.org/spreadsheetml/2006/main">
  <c r="E10" i="6" l="1"/>
  <c r="D10" i="6"/>
  <c r="C10" i="6"/>
  <c r="D9" i="6"/>
  <c r="D6" i="6"/>
  <c r="D5" i="6"/>
  <c r="C5" i="6"/>
  <c r="B31" i="5"/>
  <c r="B30" i="5"/>
  <c r="B29" i="5"/>
  <c r="D25" i="5"/>
  <c r="D26" i="5" s="1"/>
  <c r="C25" i="5"/>
  <c r="D47" i="2" s="1"/>
  <c r="D47" i="3" s="1"/>
  <c r="D47" i="4" s="1"/>
  <c r="D24" i="5"/>
  <c r="N29" i="1" s="1"/>
  <c r="N24" i="1" s="1"/>
  <c r="N37" i="1" s="1"/>
  <c r="C24" i="5"/>
  <c r="E21" i="5"/>
  <c r="F20" i="5"/>
  <c r="F21" i="5" s="1"/>
  <c r="E20" i="5"/>
  <c r="F19" i="5"/>
  <c r="E19" i="5"/>
  <c r="AB7" i="5"/>
  <c r="AA7" i="5"/>
  <c r="Z7" i="5"/>
  <c r="AC7" i="5" s="1"/>
  <c r="Y7" i="5"/>
  <c r="J5" i="5"/>
  <c r="K5" i="5" s="1"/>
  <c r="F3" i="5"/>
  <c r="G3" i="5" s="1"/>
  <c r="E2" i="5"/>
  <c r="D2" i="5"/>
  <c r="F49" i="4"/>
  <c r="C49" i="4"/>
  <c r="G48" i="4"/>
  <c r="O44" i="4"/>
  <c r="J30" i="4"/>
  <c r="I30" i="4"/>
  <c r="G30" i="4"/>
  <c r="F30" i="4"/>
  <c r="C30" i="4"/>
  <c r="M28" i="4"/>
  <c r="D28" i="4"/>
  <c r="O26" i="4"/>
  <c r="E15" i="4"/>
  <c r="C15" i="4"/>
  <c r="H13" i="4"/>
  <c r="E13" i="4"/>
  <c r="C13" i="4"/>
  <c r="L12" i="4"/>
  <c r="J12" i="4"/>
  <c r="I12" i="4"/>
  <c r="H12" i="4"/>
  <c r="E12" i="4"/>
  <c r="M11" i="4"/>
  <c r="F11" i="4"/>
  <c r="E11" i="4"/>
  <c r="L10" i="4"/>
  <c r="J10" i="4"/>
  <c r="F10" i="4"/>
  <c r="C10" i="4"/>
  <c r="O8" i="4"/>
  <c r="E7" i="4"/>
  <c r="O49" i="3"/>
  <c r="N49" i="3"/>
  <c r="M49" i="3"/>
  <c r="M49" i="4" s="1"/>
  <c r="L49" i="3"/>
  <c r="L49" i="4" s="1"/>
  <c r="K49" i="3"/>
  <c r="J49" i="3"/>
  <c r="I49" i="3"/>
  <c r="I49" i="4" s="1"/>
  <c r="H49" i="3"/>
  <c r="H49" i="4" s="1"/>
  <c r="G49" i="3"/>
  <c r="G49" i="4" s="1"/>
  <c r="F49" i="3"/>
  <c r="E49" i="3"/>
  <c r="E49" i="4" s="1"/>
  <c r="D49" i="3"/>
  <c r="D49" i="4" s="1"/>
  <c r="C49" i="3"/>
  <c r="N48" i="3"/>
  <c r="M48" i="3"/>
  <c r="L48" i="3"/>
  <c r="L48" i="4" s="1"/>
  <c r="K48" i="3"/>
  <c r="K48" i="4" s="1"/>
  <c r="G48" i="3"/>
  <c r="F48" i="3"/>
  <c r="F48" i="4" s="1"/>
  <c r="E48" i="3"/>
  <c r="E48" i="4" s="1"/>
  <c r="J46" i="3"/>
  <c r="I46" i="3"/>
  <c r="H46" i="3"/>
  <c r="G46" i="3"/>
  <c r="G46" i="4" s="1"/>
  <c r="F46" i="3"/>
  <c r="F46" i="4" s="1"/>
  <c r="E46" i="3"/>
  <c r="E46" i="4" s="1"/>
  <c r="O44" i="3"/>
  <c r="N30" i="3"/>
  <c r="K30" i="3"/>
  <c r="K30" i="4" s="1"/>
  <c r="J30" i="3"/>
  <c r="I30" i="3"/>
  <c r="H30" i="3"/>
  <c r="H30" i="4" s="1"/>
  <c r="C30" i="3"/>
  <c r="M28" i="3"/>
  <c r="L28" i="3"/>
  <c r="L28" i="4" s="1"/>
  <c r="K28" i="3"/>
  <c r="J28" i="3"/>
  <c r="J28" i="4" s="1"/>
  <c r="D28" i="3"/>
  <c r="C28" i="3"/>
  <c r="C28" i="4" s="1"/>
  <c r="O26" i="3"/>
  <c r="E15" i="3"/>
  <c r="D15" i="3"/>
  <c r="C15" i="3"/>
  <c r="E14" i="3"/>
  <c r="E14" i="4" s="1"/>
  <c r="D14" i="3"/>
  <c r="D14" i="4" s="1"/>
  <c r="C14" i="3"/>
  <c r="H13" i="3"/>
  <c r="G13" i="3"/>
  <c r="G13" i="4" s="1"/>
  <c r="E13" i="3"/>
  <c r="D13" i="3"/>
  <c r="D13" i="4" s="1"/>
  <c r="C13" i="3"/>
  <c r="N12" i="3"/>
  <c r="N12" i="4" s="1"/>
  <c r="M12" i="3"/>
  <c r="M12" i="4" s="1"/>
  <c r="L12" i="3"/>
  <c r="K12" i="3"/>
  <c r="K12" i="4" s="1"/>
  <c r="J12" i="3"/>
  <c r="I12" i="3"/>
  <c r="H12" i="3"/>
  <c r="G12" i="3"/>
  <c r="G12" i="4" s="1"/>
  <c r="F12" i="3"/>
  <c r="F12" i="4" s="1"/>
  <c r="E12" i="3"/>
  <c r="D12" i="3"/>
  <c r="D12" i="4" s="1"/>
  <c r="C12" i="3"/>
  <c r="N11" i="3"/>
  <c r="N11" i="4" s="1"/>
  <c r="M11" i="3"/>
  <c r="L11" i="3"/>
  <c r="L11" i="4" s="1"/>
  <c r="K11" i="3"/>
  <c r="K11" i="4" s="1"/>
  <c r="J11" i="3"/>
  <c r="J11" i="4" s="1"/>
  <c r="I11" i="3"/>
  <c r="I11" i="4" s="1"/>
  <c r="H11" i="3"/>
  <c r="H11" i="4" s="1"/>
  <c r="G11" i="3"/>
  <c r="F11" i="3"/>
  <c r="E11" i="3"/>
  <c r="D11" i="3"/>
  <c r="D11" i="4" s="1"/>
  <c r="C11" i="3"/>
  <c r="C11" i="4" s="1"/>
  <c r="N10" i="3"/>
  <c r="N10" i="4" s="1"/>
  <c r="M10" i="3"/>
  <c r="M10" i="4" s="1"/>
  <c r="L10" i="3"/>
  <c r="K10" i="3"/>
  <c r="K10" i="4" s="1"/>
  <c r="J10" i="3"/>
  <c r="I10" i="3"/>
  <c r="I10" i="4" s="1"/>
  <c r="H10" i="3"/>
  <c r="H10" i="4" s="1"/>
  <c r="G10" i="3"/>
  <c r="G10" i="4" s="1"/>
  <c r="F10" i="3"/>
  <c r="E10" i="3"/>
  <c r="E10" i="4" s="1"/>
  <c r="D10" i="3"/>
  <c r="O10" i="3" s="1"/>
  <c r="C10" i="3"/>
  <c r="E9" i="3"/>
  <c r="D9" i="3"/>
  <c r="D9" i="4" s="1"/>
  <c r="C9" i="3"/>
  <c r="C9" i="4" s="1"/>
  <c r="O8" i="3"/>
  <c r="E7" i="3"/>
  <c r="D7" i="3"/>
  <c r="D7" i="4" s="1"/>
  <c r="C7" i="3"/>
  <c r="O49" i="2"/>
  <c r="N48" i="2"/>
  <c r="M48" i="2"/>
  <c r="L48" i="2"/>
  <c r="K48" i="2"/>
  <c r="J48" i="2"/>
  <c r="J48" i="3" s="1"/>
  <c r="J48" i="4" s="1"/>
  <c r="I48" i="2"/>
  <c r="I48" i="3" s="1"/>
  <c r="H48" i="2"/>
  <c r="H48" i="3" s="1"/>
  <c r="H48" i="4" s="1"/>
  <c r="G48" i="2"/>
  <c r="F48" i="2"/>
  <c r="E48" i="2"/>
  <c r="D48" i="2"/>
  <c r="D48" i="3" s="1"/>
  <c r="D48" i="4" s="1"/>
  <c r="C48" i="2"/>
  <c r="N47" i="2"/>
  <c r="N47" i="3" s="1"/>
  <c r="I47" i="2"/>
  <c r="I47" i="3" s="1"/>
  <c r="H47" i="2"/>
  <c r="H47" i="3" s="1"/>
  <c r="G47" i="2"/>
  <c r="G47" i="3" s="1"/>
  <c r="F47" i="2"/>
  <c r="F47" i="3" s="1"/>
  <c r="E47" i="2"/>
  <c r="E47" i="3" s="1"/>
  <c r="E47" i="4" s="1"/>
  <c r="N46" i="2"/>
  <c r="N46" i="3" s="1"/>
  <c r="N46" i="4" s="1"/>
  <c r="M46" i="2"/>
  <c r="M46" i="3" s="1"/>
  <c r="M46" i="4" s="1"/>
  <c r="L46" i="2"/>
  <c r="L46" i="3" s="1"/>
  <c r="L46" i="4" s="1"/>
  <c r="K46" i="2"/>
  <c r="K46" i="3" s="1"/>
  <c r="K46" i="4" s="1"/>
  <c r="J46" i="2"/>
  <c r="I46" i="2"/>
  <c r="H46" i="2"/>
  <c r="G46" i="2"/>
  <c r="F46" i="2"/>
  <c r="E46" i="2"/>
  <c r="D46" i="2"/>
  <c r="D46" i="3" s="1"/>
  <c r="D46" i="4" s="1"/>
  <c r="C46" i="2"/>
  <c r="C46" i="3" s="1"/>
  <c r="O44" i="2"/>
  <c r="N30" i="2"/>
  <c r="M30" i="2"/>
  <c r="M30" i="3" s="1"/>
  <c r="L30" i="2"/>
  <c r="L30" i="3" s="1"/>
  <c r="K30" i="2"/>
  <c r="J30" i="2"/>
  <c r="I30" i="2"/>
  <c r="H30" i="2"/>
  <c r="G30" i="2"/>
  <c r="G30" i="3" s="1"/>
  <c r="F30" i="2"/>
  <c r="F30" i="3" s="1"/>
  <c r="E30" i="2"/>
  <c r="E30" i="3" s="1"/>
  <c r="E30" i="4" s="1"/>
  <c r="D30" i="2"/>
  <c r="C30" i="2"/>
  <c r="L29" i="2"/>
  <c r="L29" i="3" s="1"/>
  <c r="K29" i="2"/>
  <c r="K29" i="3" s="1"/>
  <c r="J29" i="2"/>
  <c r="J29" i="3" s="1"/>
  <c r="I29" i="2"/>
  <c r="I29" i="3" s="1"/>
  <c r="H29" i="2"/>
  <c r="H29" i="3" s="1"/>
  <c r="E29" i="2"/>
  <c r="E29" i="3" s="1"/>
  <c r="E29" i="4" s="1"/>
  <c r="C29" i="2"/>
  <c r="N28" i="2"/>
  <c r="N28" i="3" s="1"/>
  <c r="M28" i="2"/>
  <c r="L28" i="2"/>
  <c r="K28" i="2"/>
  <c r="J28" i="2"/>
  <c r="I28" i="2"/>
  <c r="I28" i="3" s="1"/>
  <c r="H28" i="2"/>
  <c r="H28" i="3" s="1"/>
  <c r="H28" i="4" s="1"/>
  <c r="G28" i="2"/>
  <c r="G28" i="3" s="1"/>
  <c r="G28" i="4" s="1"/>
  <c r="F28" i="2"/>
  <c r="F28" i="3" s="1"/>
  <c r="F28" i="4" s="1"/>
  <c r="E28" i="2"/>
  <c r="O28" i="2" s="1"/>
  <c r="D28" i="2"/>
  <c r="C28" i="2"/>
  <c r="O26" i="2"/>
  <c r="E16" i="2"/>
  <c r="D16" i="2"/>
  <c r="C16" i="2"/>
  <c r="I13" i="2"/>
  <c r="H13" i="2"/>
  <c r="F13" i="2"/>
  <c r="G13" i="2" s="1"/>
  <c r="O12" i="2"/>
  <c r="O11" i="2"/>
  <c r="O10" i="2"/>
  <c r="F9" i="2"/>
  <c r="O8" i="2"/>
  <c r="G7" i="2"/>
  <c r="F7" i="2"/>
  <c r="E6" i="2"/>
  <c r="D6" i="2"/>
  <c r="C6" i="2"/>
  <c r="N54" i="1"/>
  <c r="M54" i="1"/>
  <c r="L54" i="1"/>
  <c r="K54" i="1"/>
  <c r="J54" i="1"/>
  <c r="I54" i="1"/>
  <c r="H54" i="1"/>
  <c r="G54" i="1"/>
  <c r="F54" i="1"/>
  <c r="E54" i="1"/>
  <c r="D54" i="1"/>
  <c r="C54" i="1"/>
  <c r="L53" i="1"/>
  <c r="I53" i="1"/>
  <c r="F53" i="1"/>
  <c r="C53" i="1"/>
  <c r="O51" i="1"/>
  <c r="N50" i="1"/>
  <c r="M50" i="1"/>
  <c r="L50" i="1"/>
  <c r="K50" i="1"/>
  <c r="J50" i="1"/>
  <c r="I50" i="1"/>
  <c r="H50" i="1"/>
  <c r="G50" i="1"/>
  <c r="F50" i="1"/>
  <c r="J49" i="4"/>
  <c r="N48" i="1"/>
  <c r="M48" i="1"/>
  <c r="L48" i="1"/>
  <c r="K48" i="1"/>
  <c r="J48" i="1"/>
  <c r="I48" i="1"/>
  <c r="H48" i="1"/>
  <c r="G48" i="1"/>
  <c r="F48" i="1"/>
  <c r="J46" i="4"/>
  <c r="N44" i="1"/>
  <c r="M44" i="1"/>
  <c r="L44" i="1"/>
  <c r="K44" i="1"/>
  <c r="J44" i="1"/>
  <c r="I44" i="1"/>
  <c r="H44" i="1"/>
  <c r="G44" i="1"/>
  <c r="F44" i="1"/>
  <c r="O44" i="1" s="1"/>
  <c r="E42" i="1"/>
  <c r="E55" i="1" s="1"/>
  <c r="D42" i="1"/>
  <c r="C42" i="1"/>
  <c r="O36" i="1"/>
  <c r="N36" i="1"/>
  <c r="M36" i="1"/>
  <c r="L36" i="1"/>
  <c r="K36" i="1"/>
  <c r="J36" i="1"/>
  <c r="I36" i="1"/>
  <c r="H36" i="1"/>
  <c r="G36" i="1"/>
  <c r="F36" i="1"/>
  <c r="E36" i="1"/>
  <c r="L35" i="1"/>
  <c r="I35" i="1"/>
  <c r="F35" i="1"/>
  <c r="O33" i="1"/>
  <c r="N32" i="1"/>
  <c r="M32" i="1"/>
  <c r="L32" i="1"/>
  <c r="K32" i="1"/>
  <c r="J32" i="1"/>
  <c r="I32" i="1"/>
  <c r="H32" i="1"/>
  <c r="G32" i="1"/>
  <c r="F32" i="1"/>
  <c r="N30" i="1"/>
  <c r="M30" i="1"/>
  <c r="L30" i="1"/>
  <c r="K30" i="1"/>
  <c r="J30" i="1"/>
  <c r="I30" i="1"/>
  <c r="H30" i="1"/>
  <c r="G30" i="1"/>
  <c r="F30" i="1"/>
  <c r="N26" i="1"/>
  <c r="M26" i="1"/>
  <c r="L26" i="1"/>
  <c r="K26" i="1"/>
  <c r="J26" i="1"/>
  <c r="I26" i="1"/>
  <c r="H26" i="1"/>
  <c r="G26" i="1"/>
  <c r="F26" i="1"/>
  <c r="E24" i="1"/>
  <c r="D24" i="1"/>
  <c r="C24" i="1"/>
  <c r="C37" i="1" s="1"/>
  <c r="N19" i="1"/>
  <c r="G19" i="1"/>
  <c r="H18" i="1"/>
  <c r="G18" i="1"/>
  <c r="G16" i="1" s="1"/>
  <c r="F18" i="1"/>
  <c r="F16" i="1" s="1"/>
  <c r="E18" i="1"/>
  <c r="O18" i="1" s="1"/>
  <c r="O17" i="1"/>
  <c r="E17" i="1"/>
  <c r="N16" i="1"/>
  <c r="M16" i="1"/>
  <c r="L16" i="1"/>
  <c r="K16" i="1"/>
  <c r="J16" i="1"/>
  <c r="I16" i="1"/>
  <c r="H16" i="1"/>
  <c r="E16" i="1"/>
  <c r="D16" i="1"/>
  <c r="O16" i="1" s="1"/>
  <c r="C16" i="1"/>
  <c r="O15" i="1"/>
  <c r="N14" i="1"/>
  <c r="M14" i="1"/>
  <c r="L14" i="1"/>
  <c r="L6" i="1" s="1"/>
  <c r="L19" i="1" s="1"/>
  <c r="K14" i="1"/>
  <c r="J14" i="1"/>
  <c r="I14" i="1"/>
  <c r="H14" i="1"/>
  <c r="G14" i="1"/>
  <c r="F14" i="1"/>
  <c r="O13" i="1"/>
  <c r="O12" i="1"/>
  <c r="O11" i="1"/>
  <c r="O10" i="1"/>
  <c r="N9" i="1"/>
  <c r="K9" i="1"/>
  <c r="O9" i="1" s="1"/>
  <c r="H9" i="1"/>
  <c r="O8" i="1"/>
  <c r="N8" i="1"/>
  <c r="N6" i="1" s="1"/>
  <c r="M8" i="1"/>
  <c r="L8" i="1"/>
  <c r="K8" i="1"/>
  <c r="J8" i="1"/>
  <c r="I8" i="1"/>
  <c r="H8" i="1"/>
  <c r="G8" i="1"/>
  <c r="F8" i="1"/>
  <c r="K7" i="1"/>
  <c r="K6" i="1" s="1"/>
  <c r="K19" i="1" s="1"/>
  <c r="J7" i="1"/>
  <c r="I7" i="1"/>
  <c r="H7" i="1"/>
  <c r="G7" i="1"/>
  <c r="F7" i="1"/>
  <c r="F6" i="1" s="1"/>
  <c r="F19" i="1" s="1"/>
  <c r="M6" i="1"/>
  <c r="M19" i="1" s="1"/>
  <c r="I6" i="1"/>
  <c r="I19" i="1" s="1"/>
  <c r="G6" i="1"/>
  <c r="E6" i="1"/>
  <c r="D6" i="1"/>
  <c r="C6" i="1"/>
  <c r="C19" i="1" s="1"/>
  <c r="D55" i="1" l="1"/>
  <c r="E37" i="1"/>
  <c r="O10" i="4"/>
  <c r="C55" i="1"/>
  <c r="O32" i="1"/>
  <c r="J13" i="2"/>
  <c r="I13" i="3"/>
  <c r="I13" i="4" s="1"/>
  <c r="D6" i="3"/>
  <c r="G42" i="1"/>
  <c r="G55" i="1" s="1"/>
  <c r="K29" i="4"/>
  <c r="G47" i="4"/>
  <c r="E6" i="3"/>
  <c r="M48" i="4"/>
  <c r="D19" i="1"/>
  <c r="O19" i="1" s="1"/>
  <c r="O2" i="1" s="1"/>
  <c r="H7" i="2"/>
  <c r="O7" i="1"/>
  <c r="E19" i="1"/>
  <c r="F7" i="3"/>
  <c r="E28" i="3"/>
  <c r="E28" i="4" s="1"/>
  <c r="G29" i="1"/>
  <c r="G24" i="1" s="1"/>
  <c r="G37" i="1" s="1"/>
  <c r="F42" i="1"/>
  <c r="F55" i="1" s="1"/>
  <c r="L47" i="1"/>
  <c r="L42" i="1" s="1"/>
  <c r="L55" i="1" s="1"/>
  <c r="G7" i="3"/>
  <c r="L29" i="4"/>
  <c r="C46" i="4"/>
  <c r="O46" i="3"/>
  <c r="I28" i="4"/>
  <c r="H46" i="4"/>
  <c r="O11" i="3"/>
  <c r="G11" i="4"/>
  <c r="O35" i="1"/>
  <c r="D30" i="3"/>
  <c r="O30" i="2"/>
  <c r="C48" i="3"/>
  <c r="O48" i="2"/>
  <c r="D16" i="4"/>
  <c r="D6" i="4"/>
  <c r="I46" i="4"/>
  <c r="D10" i="4"/>
  <c r="O14" i="1"/>
  <c r="G47" i="1"/>
  <c r="G9" i="2"/>
  <c r="F9" i="3"/>
  <c r="F9" i="4" s="1"/>
  <c r="F14" i="2"/>
  <c r="F29" i="1"/>
  <c r="H47" i="1"/>
  <c r="H42" i="1" s="1"/>
  <c r="H55" i="1" s="1"/>
  <c r="O26" i="1"/>
  <c r="H29" i="1"/>
  <c r="H29" i="4" s="1"/>
  <c r="N47" i="1"/>
  <c r="N47" i="4" s="1"/>
  <c r="N28" i="4"/>
  <c r="O12" i="3"/>
  <c r="C12" i="4"/>
  <c r="O12" i="4" s="1"/>
  <c r="D37" i="1"/>
  <c r="K28" i="4"/>
  <c r="K49" i="4"/>
  <c r="I47" i="4"/>
  <c r="O53" i="1"/>
  <c r="C7" i="4"/>
  <c r="C16" i="3"/>
  <c r="C6" i="3"/>
  <c r="N30" i="4"/>
  <c r="O48" i="1"/>
  <c r="F47" i="1"/>
  <c r="K29" i="1"/>
  <c r="K24" i="1" s="1"/>
  <c r="K37" i="1" s="1"/>
  <c r="J29" i="1"/>
  <c r="J29" i="4" s="1"/>
  <c r="I47" i="1"/>
  <c r="I42" i="1" s="1"/>
  <c r="I55" i="1" s="1"/>
  <c r="J24" i="1"/>
  <c r="J37" i="1" s="1"/>
  <c r="D15" i="4"/>
  <c r="M30" i="4"/>
  <c r="E16" i="3"/>
  <c r="E9" i="4"/>
  <c r="O46" i="2"/>
  <c r="O11" i="4"/>
  <c r="N49" i="4"/>
  <c r="O54" i="1"/>
  <c r="L29" i="1"/>
  <c r="L24" i="1" s="1"/>
  <c r="L37" i="1" s="1"/>
  <c r="I29" i="1"/>
  <c r="I24" i="1" s="1"/>
  <c r="I37" i="1" s="1"/>
  <c r="M47" i="1"/>
  <c r="M42" i="1" s="1"/>
  <c r="M55" i="1" s="1"/>
  <c r="K47" i="1"/>
  <c r="K42" i="1" s="1"/>
  <c r="K55" i="1" s="1"/>
  <c r="J47" i="1"/>
  <c r="J42" i="1" s="1"/>
  <c r="J55" i="1" s="1"/>
  <c r="N48" i="4"/>
  <c r="H6" i="1"/>
  <c r="H19" i="1" s="1"/>
  <c r="O50" i="1"/>
  <c r="J6" i="1"/>
  <c r="J19" i="1" s="1"/>
  <c r="M29" i="1"/>
  <c r="M24" i="1" s="1"/>
  <c r="M37" i="1" s="1"/>
  <c r="O30" i="1"/>
  <c r="C29" i="3"/>
  <c r="L30" i="4"/>
  <c r="I48" i="4"/>
  <c r="F13" i="3"/>
  <c r="F13" i="4" s="1"/>
  <c r="M29" i="2"/>
  <c r="M29" i="3" s="1"/>
  <c r="M29" i="4" s="1"/>
  <c r="J47" i="2"/>
  <c r="J47" i="3" s="1"/>
  <c r="J47" i="4" s="1"/>
  <c r="C14" i="4"/>
  <c r="N29" i="2"/>
  <c r="N29" i="3" s="1"/>
  <c r="N29" i="4" s="1"/>
  <c r="K47" i="2"/>
  <c r="K47" i="3" s="1"/>
  <c r="C26" i="5"/>
  <c r="D16" i="3"/>
  <c r="L47" i="2"/>
  <c r="L47" i="3" s="1"/>
  <c r="L47" i="4" s="1"/>
  <c r="M47" i="2"/>
  <c r="M47" i="3" s="1"/>
  <c r="D29" i="2"/>
  <c r="D29" i="3" s="1"/>
  <c r="D29" i="4" s="1"/>
  <c r="F29" i="2"/>
  <c r="F29" i="3" s="1"/>
  <c r="F29" i="4" s="1"/>
  <c r="C47" i="2"/>
  <c r="G29" i="2"/>
  <c r="G29" i="3" s="1"/>
  <c r="O49" i="4" l="1"/>
  <c r="O28" i="4"/>
  <c r="J13" i="3"/>
  <c r="J13" i="4" s="1"/>
  <c r="K13" i="2"/>
  <c r="G7" i="4"/>
  <c r="F14" i="3"/>
  <c r="G14" i="2"/>
  <c r="F15" i="2"/>
  <c r="E6" i="4"/>
  <c r="E16" i="4"/>
  <c r="C16" i="4"/>
  <c r="C6" i="4"/>
  <c r="C29" i="4"/>
  <c r="O29" i="3"/>
  <c r="D30" i="4"/>
  <c r="O30" i="4" s="1"/>
  <c r="O30" i="3"/>
  <c r="H24" i="1"/>
  <c r="H37" i="1" s="1"/>
  <c r="O48" i="3"/>
  <c r="C48" i="4"/>
  <c r="O48" i="4" s="1"/>
  <c r="G29" i="4"/>
  <c r="N42" i="1"/>
  <c r="N55" i="1" s="1"/>
  <c r="O55" i="1" s="1"/>
  <c r="C47" i="3"/>
  <c r="O47" i="2"/>
  <c r="I29" i="4"/>
  <c r="O29" i="1"/>
  <c r="F7" i="4"/>
  <c r="O47" i="1"/>
  <c r="G9" i="3"/>
  <c r="G9" i="4" s="1"/>
  <c r="H9" i="2"/>
  <c r="F47" i="4"/>
  <c r="O6" i="1"/>
  <c r="F24" i="1"/>
  <c r="K47" i="4"/>
  <c r="O46" i="4"/>
  <c r="O29" i="2"/>
  <c r="M47" i="4"/>
  <c r="H47" i="4"/>
  <c r="O28" i="3"/>
  <c r="I7" i="2"/>
  <c r="H7" i="3"/>
  <c r="H7" i="4" l="1"/>
  <c r="H14" i="2"/>
  <c r="G14" i="3"/>
  <c r="G15" i="2"/>
  <c r="G16" i="2" s="1"/>
  <c r="F14" i="4"/>
  <c r="I9" i="2"/>
  <c r="H9" i="3"/>
  <c r="O47" i="3"/>
  <c r="C47" i="4"/>
  <c r="O47" i="4" s="1"/>
  <c r="F15" i="3"/>
  <c r="F6" i="2"/>
  <c r="F37" i="1"/>
  <c r="O37" i="1" s="1"/>
  <c r="O24" i="1"/>
  <c r="J7" i="2"/>
  <c r="I7" i="3"/>
  <c r="K13" i="3"/>
  <c r="L13" i="2"/>
  <c r="F6" i="3"/>
  <c r="O29" i="4"/>
  <c r="O42" i="1"/>
  <c r="F16" i="2"/>
  <c r="K13" i="4" l="1"/>
  <c r="I14" i="2"/>
  <c r="H14" i="3"/>
  <c r="H15" i="2"/>
  <c r="H15" i="3" s="1"/>
  <c r="H15" i="4" s="1"/>
  <c r="G14" i="4"/>
  <c r="G6" i="3"/>
  <c r="G16" i="3"/>
  <c r="L13" i="3"/>
  <c r="L13" i="4" s="1"/>
  <c r="M13" i="2"/>
  <c r="I7" i="4"/>
  <c r="K7" i="2"/>
  <c r="J7" i="3"/>
  <c r="H9" i="4"/>
  <c r="J9" i="2"/>
  <c r="I9" i="3"/>
  <c r="I9" i="4" s="1"/>
  <c r="G15" i="3"/>
  <c r="G15" i="4" s="1"/>
  <c r="G6" i="2"/>
  <c r="F15" i="4"/>
  <c r="F16" i="3"/>
  <c r="K9" i="2" l="1"/>
  <c r="J9" i="3"/>
  <c r="G6" i="4"/>
  <c r="G16" i="4"/>
  <c r="H14" i="4"/>
  <c r="H16" i="4" s="1"/>
  <c r="J15" i="2"/>
  <c r="J15" i="3" s="1"/>
  <c r="J15" i="4" s="1"/>
  <c r="H6" i="2"/>
  <c r="H6" i="3"/>
  <c r="F6" i="4"/>
  <c r="K7" i="3"/>
  <c r="L7" i="2"/>
  <c r="H16" i="2"/>
  <c r="J7" i="4"/>
  <c r="J14" i="2"/>
  <c r="I14" i="3"/>
  <c r="I14" i="4" s="1"/>
  <c r="I15" i="2"/>
  <c r="H16" i="3"/>
  <c r="I16" i="2"/>
  <c r="F16" i="4"/>
  <c r="M13" i="3"/>
  <c r="M13" i="4" s="1"/>
  <c r="N13" i="2"/>
  <c r="L7" i="3" l="1"/>
  <c r="M7" i="2"/>
  <c r="J6" i="2"/>
  <c r="O13" i="3"/>
  <c r="I15" i="3"/>
  <c r="I6" i="2"/>
  <c r="K7" i="4"/>
  <c r="J9" i="4"/>
  <c r="K14" i="2"/>
  <c r="J14" i="3"/>
  <c r="L9" i="2"/>
  <c r="K9" i="3"/>
  <c r="K9" i="4" s="1"/>
  <c r="J16" i="2"/>
  <c r="C31" i="2"/>
  <c r="N13" i="3"/>
  <c r="N13" i="4" s="1"/>
  <c r="O13" i="4" s="1"/>
  <c r="O13" i="2"/>
  <c r="J16" i="3"/>
  <c r="H6" i="4"/>
  <c r="I15" i="4" l="1"/>
  <c r="I6" i="3"/>
  <c r="I16" i="3"/>
  <c r="D31" i="2"/>
  <c r="C31" i="3"/>
  <c r="M7" i="3"/>
  <c r="N7" i="2"/>
  <c r="O7" i="2"/>
  <c r="M9" i="2"/>
  <c r="L9" i="3"/>
  <c r="L9" i="4" s="1"/>
  <c r="L7" i="4"/>
  <c r="J14" i="4"/>
  <c r="J16" i="4" s="1"/>
  <c r="J6" i="3"/>
  <c r="L14" i="2"/>
  <c r="K14" i="3"/>
  <c r="K6" i="2"/>
  <c r="K16" i="2"/>
  <c r="K15" i="2"/>
  <c r="K14" i="4" l="1"/>
  <c r="M14" i="2"/>
  <c r="L14" i="3"/>
  <c r="L15" i="2"/>
  <c r="L15" i="3" s="1"/>
  <c r="L15" i="4" s="1"/>
  <c r="L6" i="2"/>
  <c r="E31" i="2"/>
  <c r="D31" i="3"/>
  <c r="D31" i="4" s="1"/>
  <c r="M7" i="4"/>
  <c r="J6" i="4"/>
  <c r="N9" i="2"/>
  <c r="M9" i="3"/>
  <c r="M9" i="4" s="1"/>
  <c r="C31" i="4"/>
  <c r="I6" i="4"/>
  <c r="I16" i="4"/>
  <c r="K15" i="3"/>
  <c r="N7" i="3"/>
  <c r="C25" i="2"/>
  <c r="F31" i="2" l="1"/>
  <c r="E31" i="3"/>
  <c r="E31" i="4" s="1"/>
  <c r="C25" i="3"/>
  <c r="D25" i="2"/>
  <c r="N7" i="4"/>
  <c r="O7" i="3"/>
  <c r="L16" i="2"/>
  <c r="L14" i="4"/>
  <c r="L6" i="3"/>
  <c r="L16" i="3"/>
  <c r="M14" i="3"/>
  <c r="N14" i="2"/>
  <c r="M15" i="2"/>
  <c r="M16" i="2"/>
  <c r="K6" i="3"/>
  <c r="K16" i="3"/>
  <c r="N9" i="3"/>
  <c r="C27" i="2"/>
  <c r="O9" i="2"/>
  <c r="K16" i="4"/>
  <c r="K6" i="4"/>
  <c r="O7" i="4" l="1"/>
  <c r="N9" i="4"/>
  <c r="O9" i="4" s="1"/>
  <c r="O9" i="3"/>
  <c r="C25" i="4"/>
  <c r="C24" i="2"/>
  <c r="N14" i="3"/>
  <c r="C32" i="2"/>
  <c r="O14" i="2"/>
  <c r="N15" i="2"/>
  <c r="N15" i="3" s="1"/>
  <c r="M14" i="4"/>
  <c r="M16" i="3"/>
  <c r="M6" i="3"/>
  <c r="F31" i="3"/>
  <c r="G31" i="2"/>
  <c r="C27" i="3"/>
  <c r="D27" i="2"/>
  <c r="E25" i="2"/>
  <c r="D25" i="3"/>
  <c r="M15" i="3"/>
  <c r="M15" i="4" s="1"/>
  <c r="M6" i="2"/>
  <c r="C33" i="2"/>
  <c r="L16" i="4"/>
  <c r="L6" i="4"/>
  <c r="F25" i="2" l="1"/>
  <c r="E25" i="3"/>
  <c r="N14" i="4"/>
  <c r="O14" i="4" s="1"/>
  <c r="O16" i="4" s="1"/>
  <c r="O14" i="3"/>
  <c r="O16" i="3" s="1"/>
  <c r="N6" i="3"/>
  <c r="O6" i="3" s="1"/>
  <c r="C27" i="4"/>
  <c r="G31" i="3"/>
  <c r="G31" i="4" s="1"/>
  <c r="H31" i="2"/>
  <c r="F31" i="4"/>
  <c r="C33" i="3"/>
  <c r="N15" i="4"/>
  <c r="O15" i="4" s="1"/>
  <c r="O15" i="3"/>
  <c r="N16" i="4"/>
  <c r="N16" i="2"/>
  <c r="C34" i="2"/>
  <c r="D27" i="3"/>
  <c r="D27" i="4" s="1"/>
  <c r="E27" i="2"/>
  <c r="M16" i="4"/>
  <c r="M6" i="4"/>
  <c r="O15" i="2"/>
  <c r="O16" i="2" s="1"/>
  <c r="N16" i="3"/>
  <c r="N6" i="2"/>
  <c r="O6" i="2" s="1"/>
  <c r="D25" i="4"/>
  <c r="C32" i="3"/>
  <c r="D32" i="2"/>
  <c r="F27" i="2" l="1"/>
  <c r="E27" i="3"/>
  <c r="E27" i="4" s="1"/>
  <c r="H31" i="3"/>
  <c r="H31" i="4" s="1"/>
  <c r="I31" i="2"/>
  <c r="E33" i="2"/>
  <c r="E33" i="3" s="1"/>
  <c r="E33" i="4" s="1"/>
  <c r="G25" i="2"/>
  <c r="F25" i="3"/>
  <c r="C33" i="4"/>
  <c r="D32" i="3"/>
  <c r="D32" i="4" s="1"/>
  <c r="E32" i="2"/>
  <c r="C32" i="4"/>
  <c r="C24" i="3"/>
  <c r="N6" i="4"/>
  <c r="O6" i="4" s="1"/>
  <c r="E25" i="4"/>
  <c r="C34" i="3"/>
  <c r="D33" i="2"/>
  <c r="D24" i="2" s="1"/>
  <c r="F25" i="4" l="1"/>
  <c r="C34" i="4"/>
  <c r="C24" i="4"/>
  <c r="J31" i="2"/>
  <c r="I31" i="3"/>
  <c r="I31" i="4" s="1"/>
  <c r="F32" i="2"/>
  <c r="E32" i="3"/>
  <c r="E34" i="2"/>
  <c r="E24" i="2"/>
  <c r="H25" i="2"/>
  <c r="G25" i="3"/>
  <c r="D33" i="3"/>
  <c r="D34" i="2"/>
  <c r="G27" i="2"/>
  <c r="F27" i="3"/>
  <c r="H27" i="2" l="1"/>
  <c r="G27" i="3"/>
  <c r="G27" i="4" s="1"/>
  <c r="G25" i="4"/>
  <c r="G32" i="2"/>
  <c r="F32" i="3"/>
  <c r="F34" i="2"/>
  <c r="F33" i="2"/>
  <c r="J31" i="3"/>
  <c r="J31" i="4" s="1"/>
  <c r="K31" i="2"/>
  <c r="D33" i="4"/>
  <c r="D24" i="3"/>
  <c r="D34" i="3"/>
  <c r="H25" i="3"/>
  <c r="I25" i="2"/>
  <c r="F27" i="4"/>
  <c r="E32" i="4"/>
  <c r="E24" i="3"/>
  <c r="E34" i="3"/>
  <c r="F32" i="4" l="1"/>
  <c r="H25" i="4"/>
  <c r="D24" i="4"/>
  <c r="D34" i="4"/>
  <c r="L31" i="2"/>
  <c r="K31" i="3"/>
  <c r="K31" i="4" s="1"/>
  <c r="H32" i="2"/>
  <c r="G32" i="3"/>
  <c r="I25" i="3"/>
  <c r="J25" i="2"/>
  <c r="G33" i="2"/>
  <c r="G33" i="3" s="1"/>
  <c r="G33" i="4" s="1"/>
  <c r="G24" i="2"/>
  <c r="F33" i="3"/>
  <c r="I27" i="2"/>
  <c r="H27" i="3"/>
  <c r="H27" i="4" s="1"/>
  <c r="E34" i="4"/>
  <c r="E24" i="4"/>
  <c r="F24" i="2"/>
  <c r="J27" i="2" l="1"/>
  <c r="I27" i="3"/>
  <c r="J25" i="3"/>
  <c r="K25" i="2"/>
  <c r="I25" i="4"/>
  <c r="F33" i="4"/>
  <c r="M31" i="2"/>
  <c r="L31" i="3"/>
  <c r="L31" i="4" s="1"/>
  <c r="G34" i="2"/>
  <c r="F24" i="3"/>
  <c r="F34" i="3"/>
  <c r="G32" i="4"/>
  <c r="G24" i="3"/>
  <c r="G34" i="3"/>
  <c r="I32" i="2"/>
  <c r="H32" i="3"/>
  <c r="H24" i="2"/>
  <c r="H33" i="2"/>
  <c r="I32" i="3" l="1"/>
  <c r="J32" i="2"/>
  <c r="H32" i="4"/>
  <c r="G34" i="4"/>
  <c r="G24" i="4"/>
  <c r="L25" i="2"/>
  <c r="K25" i="3"/>
  <c r="J25" i="4"/>
  <c r="M31" i="3"/>
  <c r="M31" i="4" s="1"/>
  <c r="N31" i="2"/>
  <c r="I33" i="2"/>
  <c r="I33" i="3" s="1"/>
  <c r="I33" i="4" s="1"/>
  <c r="I27" i="4"/>
  <c r="H33" i="3"/>
  <c r="H24" i="3" s="1"/>
  <c r="J27" i="3"/>
  <c r="J27" i="4" s="1"/>
  <c r="K27" i="2"/>
  <c r="H34" i="2"/>
  <c r="F34" i="4"/>
  <c r="F24" i="4"/>
  <c r="K25" i="4" l="1"/>
  <c r="L25" i="3"/>
  <c r="M25" i="2"/>
  <c r="I24" i="4"/>
  <c r="N31" i="3"/>
  <c r="O31" i="2"/>
  <c r="I34" i="2"/>
  <c r="I24" i="2"/>
  <c r="H33" i="4"/>
  <c r="H34" i="3"/>
  <c r="H34" i="4"/>
  <c r="H24" i="4"/>
  <c r="J32" i="3"/>
  <c r="K32" i="2"/>
  <c r="J33" i="2"/>
  <c r="J34" i="2" s="1"/>
  <c r="K27" i="3"/>
  <c r="K27" i="4" s="1"/>
  <c r="L27" i="2"/>
  <c r="I32" i="4"/>
  <c r="I34" i="3"/>
  <c r="I24" i="3"/>
  <c r="J24" i="2" l="1"/>
  <c r="N31" i="4"/>
  <c r="O31" i="4" s="1"/>
  <c r="O31" i="3"/>
  <c r="L27" i="3"/>
  <c r="L27" i="4" s="1"/>
  <c r="M27" i="2"/>
  <c r="K32" i="3"/>
  <c r="K32" i="4" s="1"/>
  <c r="K34" i="4" s="1"/>
  <c r="L32" i="2"/>
  <c r="J32" i="4"/>
  <c r="L34" i="2"/>
  <c r="J24" i="3"/>
  <c r="L33" i="2"/>
  <c r="L33" i="3" s="1"/>
  <c r="L33" i="4" s="1"/>
  <c r="L25" i="4"/>
  <c r="N25" i="2"/>
  <c r="M25" i="3"/>
  <c r="I34" i="4"/>
  <c r="K33" i="2"/>
  <c r="K33" i="3" s="1"/>
  <c r="K33" i="4" s="1"/>
  <c r="K24" i="4" s="1"/>
  <c r="K34" i="3"/>
  <c r="J33" i="3"/>
  <c r="J33" i="4" l="1"/>
  <c r="K34" i="2"/>
  <c r="K24" i="2"/>
  <c r="M25" i="4"/>
  <c r="J34" i="4"/>
  <c r="J24" i="4"/>
  <c r="M32" i="2"/>
  <c r="L32" i="3"/>
  <c r="C43" i="2"/>
  <c r="N25" i="3"/>
  <c r="O25" i="2"/>
  <c r="K24" i="3"/>
  <c r="N27" i="2"/>
  <c r="M27" i="3"/>
  <c r="M27" i="4" s="1"/>
  <c r="L24" i="2"/>
  <c r="J34" i="3"/>
  <c r="N25" i="4" l="1"/>
  <c r="O25" i="3"/>
  <c r="D43" i="2"/>
  <c r="C43" i="3"/>
  <c r="M32" i="3"/>
  <c r="M32" i="4" s="1"/>
  <c r="M34" i="4" s="1"/>
  <c r="N32" i="2"/>
  <c r="M24" i="2"/>
  <c r="M34" i="2"/>
  <c r="L32" i="4"/>
  <c r="L24" i="3"/>
  <c r="L34" i="3"/>
  <c r="N27" i="3"/>
  <c r="C45" i="2"/>
  <c r="O27" i="2"/>
  <c r="M33" i="2"/>
  <c r="M33" i="3" s="1"/>
  <c r="M33" i="4" s="1"/>
  <c r="L24" i="4" l="1"/>
  <c r="L34" i="4"/>
  <c r="N32" i="3"/>
  <c r="C50" i="2"/>
  <c r="O32" i="2"/>
  <c r="N33" i="2"/>
  <c r="N24" i="2"/>
  <c r="O24" i="2" s="1"/>
  <c r="M24" i="3"/>
  <c r="E43" i="2"/>
  <c r="D43" i="3"/>
  <c r="C43" i="4"/>
  <c r="M34" i="3"/>
  <c r="O25" i="4"/>
  <c r="D45" i="2"/>
  <c r="C45" i="3"/>
  <c r="N27" i="4"/>
  <c r="O27" i="4" s="1"/>
  <c r="O27" i="3"/>
  <c r="M24" i="4"/>
  <c r="D43" i="4" l="1"/>
  <c r="C45" i="4"/>
  <c r="E45" i="2"/>
  <c r="D45" i="3"/>
  <c r="D45" i="4" s="1"/>
  <c r="N32" i="4"/>
  <c r="O32" i="4" s="1"/>
  <c r="O32" i="3"/>
  <c r="N34" i="3"/>
  <c r="E43" i="3"/>
  <c r="F43" i="2"/>
  <c r="N33" i="3"/>
  <c r="O33" i="2"/>
  <c r="N34" i="2"/>
  <c r="O34" i="2"/>
  <c r="D50" i="2"/>
  <c r="C50" i="3"/>
  <c r="C51" i="2"/>
  <c r="C52" i="2" s="1"/>
  <c r="E43" i="4" l="1"/>
  <c r="C42" i="2"/>
  <c r="C51" i="3"/>
  <c r="C52" i="3" s="1"/>
  <c r="D50" i="3"/>
  <c r="D50" i="4" s="1"/>
  <c r="D52" i="4" s="1"/>
  <c r="E50" i="2"/>
  <c r="D51" i="2"/>
  <c r="D51" i="3" s="1"/>
  <c r="D51" i="4" s="1"/>
  <c r="D42" i="2"/>
  <c r="N34" i="4"/>
  <c r="C50" i="4"/>
  <c r="F45" i="2"/>
  <c r="E45" i="3"/>
  <c r="E45" i="4" s="1"/>
  <c r="N33" i="4"/>
  <c r="O33" i="4" s="1"/>
  <c r="O34" i="4" s="1"/>
  <c r="O33" i="3"/>
  <c r="O34" i="3" s="1"/>
  <c r="N24" i="3"/>
  <c r="O24" i="3" s="1"/>
  <c r="N24" i="4"/>
  <c r="O24" i="4" s="1"/>
  <c r="F43" i="3"/>
  <c r="G43" i="2"/>
  <c r="D42" i="4" l="1"/>
  <c r="D52" i="3"/>
  <c r="F50" i="2"/>
  <c r="E50" i="3"/>
  <c r="E50" i="4" s="1"/>
  <c r="E51" i="2"/>
  <c r="E51" i="3" s="1"/>
  <c r="E51" i="4" s="1"/>
  <c r="E52" i="4"/>
  <c r="E42" i="4"/>
  <c r="D42" i="3"/>
  <c r="E42" i="3"/>
  <c r="G45" i="2"/>
  <c r="F45" i="3"/>
  <c r="F51" i="2"/>
  <c r="F51" i="3" s="1"/>
  <c r="F51" i="4" s="1"/>
  <c r="F43" i="4"/>
  <c r="D52" i="2"/>
  <c r="C51" i="4"/>
  <c r="C42" i="3"/>
  <c r="E42" i="2"/>
  <c r="G43" i="3"/>
  <c r="H43" i="2"/>
  <c r="G45" i="3" l="1"/>
  <c r="G45" i="4" s="1"/>
  <c r="H45" i="2"/>
  <c r="I43" i="2"/>
  <c r="H43" i="3"/>
  <c r="F45" i="4"/>
  <c r="F42" i="4" s="1"/>
  <c r="G43" i="4"/>
  <c r="C52" i="4"/>
  <c r="C42" i="4"/>
  <c r="F50" i="3"/>
  <c r="F50" i="4" s="1"/>
  <c r="G50" i="2"/>
  <c r="F42" i="2"/>
  <c r="F52" i="2"/>
  <c r="E52" i="3"/>
  <c r="F52" i="3"/>
  <c r="E52" i="2"/>
  <c r="H50" i="2" l="1"/>
  <c r="G50" i="3"/>
  <c r="G50" i="4" s="1"/>
  <c r="G51" i="2"/>
  <c r="G42" i="2"/>
  <c r="H43" i="4"/>
  <c r="G52" i="2"/>
  <c r="F52" i="4"/>
  <c r="I43" i="3"/>
  <c r="J43" i="2"/>
  <c r="H45" i="3"/>
  <c r="I45" i="2"/>
  <c r="F42" i="3"/>
  <c r="I43" i="4" l="1"/>
  <c r="I45" i="3"/>
  <c r="I45" i="4" s="1"/>
  <c r="J45" i="2"/>
  <c r="H45" i="4"/>
  <c r="G51" i="3"/>
  <c r="K43" i="2"/>
  <c r="J43" i="3"/>
  <c r="I50" i="2"/>
  <c r="H50" i="3"/>
  <c r="H42" i="2"/>
  <c r="H51" i="2"/>
  <c r="H51" i="3" s="1"/>
  <c r="H51" i="4" s="1"/>
  <c r="I51" i="2"/>
  <c r="I51" i="3" s="1"/>
  <c r="I51" i="4" s="1"/>
  <c r="L43" i="2" l="1"/>
  <c r="K43" i="3"/>
  <c r="K45" i="2"/>
  <c r="J45" i="3"/>
  <c r="I52" i="3"/>
  <c r="H50" i="4"/>
  <c r="H52" i="3"/>
  <c r="H42" i="3"/>
  <c r="G51" i="4"/>
  <c r="G52" i="3"/>
  <c r="G42" i="3"/>
  <c r="H52" i="2"/>
  <c r="I50" i="3"/>
  <c r="I50" i="4" s="1"/>
  <c r="I42" i="4" s="1"/>
  <c r="J50" i="2"/>
  <c r="I42" i="2"/>
  <c r="H52" i="4"/>
  <c r="J51" i="2"/>
  <c r="J43" i="4"/>
  <c r="I52" i="2"/>
  <c r="J51" i="3" l="1"/>
  <c r="J45" i="4"/>
  <c r="K45" i="3"/>
  <c r="K45" i="4" s="1"/>
  <c r="L45" i="2"/>
  <c r="I52" i="4"/>
  <c r="K51" i="2"/>
  <c r="K51" i="3" s="1"/>
  <c r="K51" i="4" s="1"/>
  <c r="G52" i="4"/>
  <c r="G42" i="4"/>
  <c r="J42" i="2"/>
  <c r="H42" i="4"/>
  <c r="J50" i="3"/>
  <c r="K50" i="2"/>
  <c r="J52" i="2"/>
  <c r="I42" i="3"/>
  <c r="K43" i="4"/>
  <c r="J42" i="3"/>
  <c r="L43" i="3"/>
  <c r="M43" i="2"/>
  <c r="L43" i="4" l="1"/>
  <c r="L50" i="2"/>
  <c r="K50" i="3"/>
  <c r="K52" i="2"/>
  <c r="K42" i="2"/>
  <c r="M45" i="2"/>
  <c r="L45" i="3"/>
  <c r="L45" i="4" s="1"/>
  <c r="J50" i="4"/>
  <c r="J52" i="3"/>
  <c r="N43" i="2"/>
  <c r="M43" i="3"/>
  <c r="J51" i="4"/>
  <c r="M43" i="4" l="1"/>
  <c r="J52" i="4"/>
  <c r="J42" i="4"/>
  <c r="K50" i="4"/>
  <c r="K42" i="3"/>
  <c r="K52" i="3"/>
  <c r="N43" i="3"/>
  <c r="O43" i="2"/>
  <c r="N45" i="2"/>
  <c r="M45" i="3"/>
  <c r="M45" i="4" s="1"/>
  <c r="L50" i="3"/>
  <c r="L50" i="4" s="1"/>
  <c r="M50" i="2"/>
  <c r="L51" i="2"/>
  <c r="L52" i="2"/>
  <c r="M51" i="2"/>
  <c r="M51" i="3" s="1"/>
  <c r="M51" i="4" s="1"/>
  <c r="M52" i="2"/>
  <c r="N45" i="3" l="1"/>
  <c r="O45" i="2"/>
  <c r="N43" i="4"/>
  <c r="O43" i="3"/>
  <c r="M42" i="2"/>
  <c r="K42" i="4"/>
  <c r="K52" i="4"/>
  <c r="L51" i="3"/>
  <c r="L42" i="2"/>
  <c r="M50" i="3"/>
  <c r="M50" i="4" s="1"/>
  <c r="N50" i="2"/>
  <c r="M42" i="3"/>
  <c r="M52" i="4"/>
  <c r="M42" i="4"/>
  <c r="M52" i="3"/>
  <c r="O43" i="4" l="1"/>
  <c r="N45" i="4"/>
  <c r="O45" i="4" s="1"/>
  <c r="O45" i="3"/>
  <c r="L51" i="4"/>
  <c r="L52" i="3"/>
  <c r="L42" i="3"/>
  <c r="N50" i="3"/>
  <c r="O50" i="2"/>
  <c r="N51" i="2"/>
  <c r="N51" i="3" l="1"/>
  <c r="O51" i="2"/>
  <c r="N42" i="2"/>
  <c r="O42" i="2" s="1"/>
  <c r="N52" i="2"/>
  <c r="N50" i="4"/>
  <c r="O50" i="4" s="1"/>
  <c r="O50" i="3"/>
  <c r="N52" i="3"/>
  <c r="N42" i="3"/>
  <c r="O42" i="3" s="1"/>
  <c r="O52" i="2"/>
  <c r="L42" i="4"/>
  <c r="L52" i="4"/>
  <c r="N51" i="4" l="1"/>
  <c r="O51" i="3"/>
  <c r="O52" i="3" s="1"/>
  <c r="O51" i="4" l="1"/>
  <c r="O52" i="4" s="1"/>
  <c r="N42" i="4"/>
  <c r="O42" i="4" s="1"/>
  <c r="N52" i="4"/>
</calcChain>
</file>

<file path=xl/sharedStrings.xml><?xml version="1.0" encoding="utf-8"?>
<sst xmlns="http://schemas.openxmlformats.org/spreadsheetml/2006/main" count="485" uniqueCount="118">
  <si>
    <t>ONLINE MARKETING BUDGET</t>
  </si>
  <si>
    <t>JAHRESAUSGABEN:</t>
  </si>
  <si>
    <t>Q1</t>
  </si>
  <si>
    <t>Q2</t>
  </si>
  <si>
    <t>Q3</t>
  </si>
  <si>
    <t>Q4</t>
  </si>
  <si>
    <t>FISCAL YEAR TOTALS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</si>
  <si>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</si>
  <si>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</si>
  <si>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</si>
  <si>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</si>
  <si>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</si>
  <si>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</si>
  <si>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</si>
  <si>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</si>
  <si>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</si>
  <si>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</si>
  <si>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</si>
  <si>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</si>
  <si>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Marketing Maßnahmen</t>
  </si>
  <si>
    <t>SEO - Offpage</t>
  </si>
  <si>
    <t>Content+SEO</t>
  </si>
  <si>
    <t>Content Marketing</t>
  </si>
  <si>
    <t>Pay-Per-Click Marketing</t>
  </si>
  <si>
    <t>Display Advertising</t>
  </si>
  <si>
    <t>Retargeting</t>
  </si>
  <si>
    <t>Social Media</t>
  </si>
  <si>
    <t>Newsletter</t>
  </si>
  <si>
    <t>TypeIn</t>
  </si>
  <si>
    <t>Investment / Consulting</t>
  </si>
  <si>
    <t>Web Development</t>
  </si>
  <si>
    <t>Umsetzung</t>
  </si>
  <si>
    <t>TOTALS</t>
  </si>
  <si>
    <t>Investment / Organisation / Consulting</t>
  </si>
  <si>
    <t>Beratung</t>
  </si>
  <si>
    <t>ONLINE MARKETING TRAFFIC</t>
  </si>
  <si>
    <t>VISITORS YEAR TOTALS</t>
  </si>
  <si>
    <t>SEO</t>
  </si>
  <si>
    <t>ONLINE MARKETING UMSATZ</t>
  </si>
  <si>
    <t>SALES YEAR TOTALS</t>
  </si>
  <si>
    <t xml:space="preserve">SALES YEAR </t>
  </si>
  <si>
    <t>ONLINE MARKETING GEWINN</t>
  </si>
  <si>
    <t>WIN YEAR TOTALS</t>
  </si>
  <si>
    <t>CV</t>
  </si>
  <si>
    <t>Warenkorb</t>
  </si>
  <si>
    <t>Marge</t>
  </si>
  <si>
    <t>Material</t>
  </si>
  <si>
    <t>VK</t>
  </si>
  <si>
    <t>Marketing</t>
  </si>
  <si>
    <t>Kanal</t>
  </si>
  <si>
    <t>SEO Offpage</t>
  </si>
  <si>
    <t>Link Qualität 1</t>
  </si>
  <si>
    <t>Link Qualität 2</t>
  </si>
  <si>
    <t>Link Qualität 3</t>
  </si>
  <si>
    <t>Link Qualität 4</t>
  </si>
  <si>
    <t>Win</t>
  </si>
  <si>
    <t>FH</t>
  </si>
  <si>
    <t>weitere Kosten</t>
  </si>
  <si>
    <t>interne Kosten</t>
  </si>
  <si>
    <t>Warenkorbwert</t>
  </si>
  <si>
    <t>Traffic</t>
  </si>
  <si>
    <t>SEO Onpage</t>
  </si>
  <si>
    <t>Content</t>
  </si>
  <si>
    <t>Produkte</t>
  </si>
  <si>
    <t>Gesamt</t>
  </si>
  <si>
    <t>Seitenarchitektur</t>
  </si>
  <si>
    <t>Website</t>
  </si>
  <si>
    <t>Grafik</t>
  </si>
  <si>
    <t>Kooperationen</t>
  </si>
  <si>
    <t>Seeding</t>
  </si>
  <si>
    <t>Design</t>
  </si>
  <si>
    <t>PPC</t>
  </si>
  <si>
    <t>Bid Management</t>
  </si>
  <si>
    <t>Texte Top 100</t>
  </si>
  <si>
    <t>Google Adwords</t>
  </si>
  <si>
    <t>Social Ads</t>
  </si>
  <si>
    <t>Kosten</t>
  </si>
  <si>
    <t>View</t>
  </si>
  <si>
    <t>CPM</t>
  </si>
  <si>
    <t>Facebook Ads</t>
  </si>
  <si>
    <t>Aktionen</t>
  </si>
  <si>
    <t>Redaktion</t>
  </si>
  <si>
    <t>Software</t>
  </si>
  <si>
    <t>Likes</t>
  </si>
  <si>
    <t>Neue Adressen</t>
  </si>
  <si>
    <t>Conversion Optimization</t>
  </si>
  <si>
    <t>Multivariate Tests</t>
  </si>
  <si>
    <t>Preissuchmaschinen</t>
  </si>
  <si>
    <t>Besucher/M</t>
  </si>
  <si>
    <t>Amazon</t>
  </si>
  <si>
    <t>Ebay</t>
  </si>
  <si>
    <t>Aldi/Lidl</t>
  </si>
  <si>
    <t>Kaufland</t>
  </si>
  <si>
    <t>Netto</t>
  </si>
  <si>
    <t>Rewe-Group</t>
  </si>
  <si>
    <t>Müller</t>
  </si>
  <si>
    <t>Otto</t>
  </si>
  <si>
    <t>Galeria.de</t>
  </si>
  <si>
    <t>Picking</t>
  </si>
  <si>
    <t>Transport</t>
  </si>
  <si>
    <t>Packsets</t>
  </si>
  <si>
    <t>Retoure</t>
  </si>
  <si>
    <t>Web Entwicklung</t>
  </si>
  <si>
    <t>Online Shop</t>
  </si>
  <si>
    <t>Shopify</t>
  </si>
  <si>
    <t>Plugins</t>
  </si>
  <si>
    <t>Weiterentwicklung</t>
  </si>
  <si>
    <t>Web Content</t>
  </si>
  <si>
    <t>Startseite</t>
  </si>
  <si>
    <t>Produkt</t>
  </si>
  <si>
    <t>Google Ads</t>
  </si>
  <si>
    <t>FB/Insta</t>
  </si>
  <si>
    <t xml:space="preserve"> Q1</t>
  </si>
  <si>
    <t xml:space="preserve"> Q2</t>
  </si>
  <si>
    <t xml:space="preserve"> Q3</t>
  </si>
  <si>
    <t xml:space="preserve"> Q4</t>
  </si>
  <si>
    <t>Marketing Massnahmen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</si>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</sst>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&quot;$&quot;* #,##0.00_-;\-&quot;$&quot;* #,##0.00_-;_-&quot;$&quot;* &quot;-&quot;??_-;_-@"/>
    <numFmt numFmtId="166" formatCode="#,##0_ ;\-#,##0\ "/>
  </numFmts>
  <fonts count="26">
    <font>
      <sz val="12"/>
      <color theme="1"/>
      <name val="Calibri"/>
      <scheme val="minor"/>
    </font>
    <font>
      <sz val="12"/>
      <color theme="1"/>
      <name val="Arial"/>
    </font>
    <font>
      <b/>
      <sz val="22"/>
      <color rgb="FF339966"/>
      <name val="Century Gothic"/>
    </font>
    <font>
      <b/>
      <sz val="22"/>
      <color rgb="FF88361C"/>
      <name val="Century Gothic"/>
    </font>
    <font>
      <sz val="11"/>
      <color rgb="FF339933"/>
      <name val="Century Gothic"/>
    </font>
    <font>
      <b/>
      <sz val="12"/>
      <color rgb="FF339933"/>
      <name val="Century Gothic"/>
    </font>
    <font>
      <sz val="9"/>
      <color theme="1"/>
      <name val="Century Gothic"/>
    </font>
    <font>
      <b/>
      <sz val="12"/>
      <color theme="1"/>
      <name val="Century Gothic"/>
    </font>
    <font>
      <b/>
      <sz val="12"/>
      <color rgb="FFFFFFFF"/>
      <name val="Century Gothic"/>
    </font>
    <font>
      <b/>
      <sz val="12"/>
      <color theme="0"/>
      <name val="Century Gothic"/>
    </font>
    <font>
      <sz val="12"/>
      <name val="Calibri"/>
    </font>
    <font>
      <b/>
      <sz val="11"/>
      <color theme="0"/>
      <name val="Century Gothic"/>
    </font>
    <font>
      <b/>
      <sz val="11"/>
      <color theme="1"/>
      <name val="Century Gothic"/>
    </font>
    <font>
      <b/>
      <sz val="11"/>
      <color rgb="FF282823"/>
      <name val="Century Gothic"/>
    </font>
    <font>
      <b/>
      <sz val="11"/>
      <color rgb="FF664C00"/>
      <name val="Century Gothic"/>
    </font>
    <font>
      <sz val="11"/>
      <color theme="1"/>
      <name val="Century Gothic"/>
    </font>
    <font>
      <sz val="12"/>
      <color theme="1"/>
      <name val="Calibri"/>
    </font>
    <font>
      <b/>
      <sz val="12"/>
      <color theme="1"/>
      <name val="Calibri"/>
    </font>
    <font>
      <sz val="9"/>
      <color rgb="FF1155CC"/>
      <name val="&quot;Google Sans Mono&quot;"/>
    </font>
    <font>
      <sz val="12"/>
      <color rgb="FF000000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sz val="12"/>
      <color theme="0"/>
      <name val="Calibri"/>
    </font>
    <font>
      <b/>
      <u/>
      <sz val="12"/>
      <color theme="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8000"/>
        <bgColor rgb="FF008000"/>
      </patternFill>
    </fill>
    <fill>
      <patternFill patternType="solid">
        <fgColor rgb="FF339933"/>
        <bgColor rgb="FF339933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00CC00"/>
        <bgColor rgb="FF00CC00"/>
      </patternFill>
    </fill>
    <fill>
      <patternFill patternType="solid">
        <fgColor rgb="FFFFE084"/>
        <bgColor rgb="FFFFE084"/>
      </patternFill>
    </fill>
    <fill>
      <patternFill patternType="solid">
        <fgColor rgb="FFBBBBB2"/>
        <bgColor rgb="FFBBBBB2"/>
      </patternFill>
    </fill>
    <fill>
      <patternFill patternType="solid">
        <fgColor rgb="FFFED147"/>
        <bgColor rgb="FFFED147"/>
      </patternFill>
    </fill>
    <fill>
      <patternFill patternType="solid">
        <fgColor rgb="FFCCFFCC"/>
        <bgColor rgb="FFCCFFCC"/>
      </patternFill>
    </fill>
    <fill>
      <patternFill patternType="solid">
        <fgColor rgb="FFDDDDD8"/>
        <bgColor rgb="FFDDDDD8"/>
      </patternFill>
    </fill>
    <fill>
      <patternFill patternType="solid">
        <fgColor rgb="FFFFEFC1"/>
        <bgColor rgb="FFFFEFC1"/>
      </patternFill>
    </fill>
    <fill>
      <patternFill patternType="solid">
        <fgColor rgb="FFFFFFFF"/>
        <bgColor rgb="FFFFFFFF"/>
      </patternFill>
    </fill>
    <fill>
      <patternFill patternType="solid">
        <fgColor rgb="FF00CC66"/>
        <bgColor rgb="FF00CC66"/>
      </patternFill>
    </fill>
  </fills>
  <borders count="21">
    <border>
      <left/>
      <right/>
      <top/>
      <bottom/>
      <diagonal/>
    </border>
    <border>
      <left style="medium">
        <color rgb="FF997200"/>
      </left>
      <right style="medium">
        <color rgb="FF997200"/>
      </right>
      <top style="medium">
        <color rgb="FF997200"/>
      </top>
      <bottom/>
      <diagonal/>
    </border>
    <border>
      <left style="medium">
        <color rgb="FF997200"/>
      </left>
      <right/>
      <top style="medium">
        <color rgb="FF997200"/>
      </top>
      <bottom style="thin">
        <color rgb="FF997200"/>
      </bottom>
      <diagonal/>
    </border>
    <border>
      <left/>
      <right/>
      <top style="medium">
        <color rgb="FF997200"/>
      </top>
      <bottom style="thin">
        <color rgb="FF997200"/>
      </bottom>
      <diagonal/>
    </border>
    <border>
      <left style="medium">
        <color rgb="FF997200"/>
      </left>
      <right style="medium">
        <color rgb="FF997200"/>
      </right>
      <top/>
      <bottom style="medium">
        <color rgb="FF997200"/>
      </bottom>
      <diagonal/>
    </border>
    <border>
      <left style="medium">
        <color rgb="FF997200"/>
      </left>
      <right/>
      <top style="thin">
        <color rgb="FF997200"/>
      </top>
      <bottom/>
      <diagonal/>
    </border>
    <border>
      <left style="thin">
        <color rgb="FF997200"/>
      </left>
      <right/>
      <top style="thin">
        <color rgb="FF997200"/>
      </top>
      <bottom/>
      <diagonal/>
    </border>
    <border>
      <left style="medium">
        <color rgb="FF997200"/>
      </left>
      <right/>
      <top style="medium">
        <color rgb="FF997200"/>
      </top>
      <bottom style="thin">
        <color rgb="FF997200"/>
      </bottom>
      <diagonal/>
    </border>
    <border>
      <left style="thin">
        <color rgb="FF997200"/>
      </left>
      <right/>
      <top style="medium">
        <color rgb="FF997200"/>
      </top>
      <bottom style="thin">
        <color rgb="FF997200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 style="medium">
        <color rgb="FF997200"/>
      </left>
      <right/>
      <top style="thin">
        <color rgb="FF997200"/>
      </top>
      <bottom style="thin">
        <color rgb="FF997200"/>
      </bottom>
      <diagonal/>
    </border>
    <border>
      <left style="medium">
        <color rgb="FF997200"/>
      </left>
      <right style="thin">
        <color rgb="FF997200"/>
      </right>
      <top style="thin">
        <color rgb="FF997200"/>
      </top>
      <bottom style="thin">
        <color rgb="FF997200"/>
      </bottom>
      <diagonal/>
    </border>
    <border>
      <left style="medium">
        <color rgb="FF997200"/>
      </left>
      <right/>
      <top/>
      <bottom style="thin">
        <color rgb="FF997200"/>
      </bottom>
      <diagonal/>
    </border>
    <border>
      <left style="medium">
        <color rgb="FF997200"/>
      </left>
      <right/>
      <top style="thin">
        <color rgb="FF997200"/>
      </top>
      <bottom/>
      <diagonal/>
    </border>
    <border>
      <left/>
      <right style="medium">
        <color rgb="FF997200"/>
      </right>
      <top style="medium">
        <color rgb="FF997200"/>
      </top>
      <bottom/>
      <diagonal/>
    </border>
    <border>
      <left/>
      <right style="medium">
        <color rgb="FF997200"/>
      </right>
      <top/>
      <bottom style="medium">
        <color rgb="FF997200"/>
      </bottom>
      <diagonal/>
    </border>
    <border>
      <left style="medium">
        <color theme="8"/>
      </left>
      <right style="medium">
        <color theme="8"/>
      </right>
      <top/>
      <bottom style="thin">
        <color theme="8"/>
      </bottom>
      <diagonal/>
    </border>
    <border>
      <left/>
      <right/>
      <top style="medium">
        <color rgb="FF997200"/>
      </top>
      <bottom style="thin">
        <color rgb="FF997200"/>
      </bottom>
      <diagonal/>
    </border>
    <border>
      <left style="medium">
        <color rgb="FF997200"/>
      </left>
      <right style="medium">
        <color rgb="FF997200"/>
      </right>
      <top style="medium">
        <color rgb="FF997200"/>
      </top>
      <bottom/>
      <diagonal/>
    </border>
    <border>
      <left style="medium">
        <color rgb="FF997200"/>
      </left>
      <right style="medium">
        <color rgb="FF997200"/>
      </right>
      <top/>
      <bottom style="medium">
        <color rgb="FF9972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2" fillId="8" borderId="7" xfId="0" applyFont="1" applyFill="1" applyBorder="1" applyAlignment="1">
      <alignment horizontal="left" vertical="center" wrapText="1"/>
    </xf>
    <xf numFmtId="164" fontId="13" fillId="9" borderId="7" xfId="0" applyNumberFormat="1" applyFont="1" applyFill="1" applyBorder="1" applyAlignment="1">
      <alignment horizontal="center" vertical="center" wrapText="1"/>
    </xf>
    <xf numFmtId="164" fontId="13" fillId="9" borderId="8" xfId="0" applyNumberFormat="1" applyFont="1" applyFill="1" applyBorder="1" applyAlignment="1">
      <alignment horizontal="center" vertical="center" wrapText="1"/>
    </xf>
    <xf numFmtId="164" fontId="14" fillId="10" borderId="7" xfId="0" applyNumberFormat="1" applyFont="1" applyFill="1" applyBorder="1" applyAlignment="1">
      <alignment horizontal="center" vertical="center" wrapText="1"/>
    </xf>
    <xf numFmtId="164" fontId="14" fillId="10" borderId="8" xfId="0" applyNumberFormat="1" applyFont="1" applyFill="1" applyBorder="1" applyAlignment="1">
      <alignment horizontal="center" vertical="center" wrapText="1"/>
    </xf>
    <xf numFmtId="164" fontId="12" fillId="11" borderId="9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164" fontId="15" fillId="12" borderId="11" xfId="0" applyNumberFormat="1" applyFont="1" applyFill="1" applyBorder="1" applyAlignment="1">
      <alignment horizontal="center" vertical="center" wrapText="1"/>
    </xf>
    <xf numFmtId="164" fontId="15" fillId="13" borderId="11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164" fontId="11" fillId="6" borderId="6" xfId="0" applyNumberFormat="1" applyFont="1" applyFill="1" applyBorder="1" applyAlignment="1">
      <alignment horizontal="center" vertical="center" wrapText="1"/>
    </xf>
    <xf numFmtId="164" fontId="11" fillId="5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2" fillId="11" borderId="16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13" fillId="9" borderId="7" xfId="0" applyNumberFormat="1" applyFont="1" applyFill="1" applyBorder="1" applyAlignment="1">
      <alignment horizontal="center" vertical="center" wrapText="1"/>
    </xf>
    <xf numFmtId="166" fontId="14" fillId="10" borderId="7" xfId="0" applyNumberFormat="1" applyFont="1" applyFill="1" applyBorder="1" applyAlignment="1">
      <alignment horizontal="center" vertical="center" wrapText="1"/>
    </xf>
    <xf numFmtId="166" fontId="12" fillId="11" borderId="9" xfId="0" applyNumberFormat="1" applyFont="1" applyFill="1" applyBorder="1" applyAlignment="1">
      <alignment horizontal="center" vertical="center"/>
    </xf>
    <xf numFmtId="166" fontId="15" fillId="12" borderId="11" xfId="0" applyNumberFormat="1" applyFont="1" applyFill="1" applyBorder="1" applyAlignment="1">
      <alignment horizontal="center" vertical="center" wrapText="1"/>
    </xf>
    <xf numFmtId="166" fontId="15" fillId="13" borderId="11" xfId="0" applyNumberFormat="1" applyFont="1" applyFill="1" applyBorder="1" applyAlignment="1">
      <alignment horizontal="center" vertical="center" wrapText="1"/>
    </xf>
    <xf numFmtId="166" fontId="11" fillId="6" borderId="6" xfId="0" applyNumberFormat="1" applyFont="1" applyFill="1" applyBorder="1" applyAlignment="1">
      <alignment horizontal="center" vertical="center" wrapText="1"/>
    </xf>
    <xf numFmtId="166" fontId="11" fillId="5" borderId="9" xfId="0" applyNumberFormat="1" applyFont="1" applyFill="1" applyBorder="1" applyAlignment="1">
      <alignment horizontal="center" vertical="center"/>
    </xf>
    <xf numFmtId="166" fontId="12" fillId="11" borderId="16" xfId="0" applyNumberFormat="1" applyFont="1" applyFill="1" applyBorder="1" applyAlignment="1">
      <alignment horizontal="center" vertical="center"/>
    </xf>
    <xf numFmtId="164" fontId="16" fillId="0" borderId="0" xfId="0" applyNumberFormat="1" applyFont="1"/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left" vertical="center"/>
    </xf>
    <xf numFmtId="164" fontId="11" fillId="6" borderId="5" xfId="0" applyNumberFormat="1" applyFont="1" applyFill="1" applyBorder="1" applyAlignment="1">
      <alignment horizontal="center" vertical="center" wrapText="1"/>
    </xf>
    <xf numFmtId="164" fontId="11" fillId="7" borderId="5" xfId="0" applyNumberFormat="1" applyFont="1" applyFill="1" applyBorder="1" applyAlignment="1">
      <alignment horizontal="center" vertical="center" wrapText="1"/>
    </xf>
    <xf numFmtId="164" fontId="11" fillId="7" borderId="6" xfId="0" applyNumberFormat="1" applyFont="1" applyFill="1" applyBorder="1" applyAlignment="1">
      <alignment horizontal="center" vertical="center" wrapText="1"/>
    </xf>
    <xf numFmtId="164" fontId="12" fillId="8" borderId="7" xfId="0" applyNumberFormat="1" applyFont="1" applyFill="1" applyBorder="1" applyAlignment="1">
      <alignment horizontal="left" vertical="center" wrapText="1"/>
    </xf>
    <xf numFmtId="164" fontId="9" fillId="3" borderId="7" xfId="0" applyNumberFormat="1" applyFont="1" applyFill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9" fillId="4" borderId="17" xfId="0" applyNumberFormat="1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 wrapText="1"/>
    </xf>
    <xf numFmtId="164" fontId="8" fillId="5" borderId="19" xfId="0" applyNumberFormat="1" applyFont="1" applyFill="1" applyBorder="1" applyAlignment="1">
      <alignment horizontal="center" vertical="center" wrapText="1"/>
    </xf>
    <xf numFmtId="164" fontId="9" fillId="5" borderId="18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/>
    <xf numFmtId="4" fontId="17" fillId="0" borderId="0" xfId="0" applyNumberFormat="1" applyFont="1"/>
    <xf numFmtId="4" fontId="16" fillId="0" borderId="0" xfId="0" applyNumberFormat="1" applyFont="1"/>
    <xf numFmtId="9" fontId="16" fillId="0" borderId="0" xfId="0" applyNumberFormat="1" applyFont="1"/>
    <xf numFmtId="4" fontId="18" fillId="14" borderId="0" xfId="0" applyNumberFormat="1" applyFont="1" applyFill="1"/>
    <xf numFmtId="10" fontId="19" fillId="0" borderId="0" xfId="0" applyNumberFormat="1" applyFont="1"/>
    <xf numFmtId="4" fontId="20" fillId="3" borderId="20" xfId="0" applyNumberFormat="1" applyFont="1" applyFill="1" applyBorder="1"/>
    <xf numFmtId="4" fontId="20" fillId="15" borderId="20" xfId="0" applyNumberFormat="1" applyFont="1" applyFill="1" applyBorder="1"/>
    <xf numFmtId="4" fontId="17" fillId="0" borderId="20" xfId="0" applyNumberFormat="1" applyFont="1" applyBorder="1"/>
    <xf numFmtId="4" fontId="16" fillId="0" borderId="20" xfId="0" applyNumberFormat="1" applyFont="1" applyBorder="1"/>
    <xf numFmtId="4" fontId="21" fillId="15" borderId="20" xfId="0" applyNumberFormat="1" applyFont="1" applyFill="1" applyBorder="1"/>
    <xf numFmtId="4" fontId="22" fillId="0" borderId="0" xfId="0" applyNumberFormat="1" applyFont="1"/>
    <xf numFmtId="4" fontId="23" fillId="15" borderId="20" xfId="0" applyNumberFormat="1" applyFont="1" applyFill="1" applyBorder="1"/>
    <xf numFmtId="0" fontId="24" fillId="0" borderId="0" xfId="0" applyFont="1"/>
    <xf numFmtId="4" fontId="24" fillId="0" borderId="0" xfId="0" applyNumberFormat="1" applyFont="1"/>
    <xf numFmtId="0" fontId="25" fillId="0" borderId="0" xfId="0" applyFont="1"/>
    <xf numFmtId="0" fontId="20" fillId="3" borderId="20" xfId="0" applyFont="1" applyFill="1" applyBorder="1"/>
    <xf numFmtId="0" fontId="21" fillId="15" borderId="20" xfId="0" applyFont="1" applyFill="1" applyBorder="1"/>
    <xf numFmtId="0" fontId="16" fillId="0" borderId="20" xfId="0" applyFont="1" applyBorder="1"/>
    <xf numFmtId="0" fontId="17" fillId="0" borderId="20" xfId="0" applyFont="1" applyBorder="1"/>
    <xf numFmtId="0" fontId="21" fillId="3" borderId="20" xfId="0" applyFont="1" applyFill="1" applyBorder="1"/>
    <xf numFmtId="0" fontId="2" fillId="0" borderId="0" xfId="0" applyFont="1" applyAlignment="1">
      <alignment vertical="center"/>
    </xf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10" fillId="0" borderId="4" xfId="0" applyFont="1" applyBorder="1"/>
    <xf numFmtId="165" fontId="9" fillId="3" borderId="2" xfId="0" applyNumberFormat="1" applyFont="1" applyFill="1" applyBorder="1" applyAlignment="1">
      <alignment horizontal="center" vertical="center"/>
    </xf>
    <xf numFmtId="0" fontId="10" fillId="0" borderId="3" xfId="0" applyFont="1" applyBorder="1"/>
    <xf numFmtId="165" fontId="9" fillId="4" borderId="2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5" fontId="9" fillId="4" borderId="3" xfId="0" applyNumberFormat="1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10" fillId="0" borderId="15" xfId="0" applyFont="1" applyBorder="1"/>
    <xf numFmtId="164" fontId="2" fillId="0" borderId="0" xfId="0" applyNumberFormat="1" applyFont="1" applyAlignment="1">
      <alignment vertical="center"/>
    </xf>
    <xf numFmtId="164" fontId="9" fillId="3" borderId="2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 wrapText="1"/>
    </xf>
    <xf numFmtId="164" fontId="9" fillId="4" borderId="3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164" fontId="9" fillId="5" borderId="14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galeri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CC"/>
    <pageSetUpPr fitToPage="1"/>
  </sheetPr>
  <dimension ref="A1:Z986"/>
  <sheetViews>
    <sheetView showGridLines="0" tabSelected="1" workbookViewId="0"/>
  </sheetViews>
  <sheetFormatPr baseColWidth="10" defaultColWidth="11.25" defaultRowHeight="15" customHeight="1"/>
  <cols>
    <col min="1" max="1" width="1.3125" customWidth="1"/>
    <col min="2" max="2" width="23.75" customWidth="1"/>
    <col min="3" max="3" width="12" customWidth="1"/>
    <col min="4" max="14" width="11.3125" customWidth="1"/>
    <col min="15" max="15" width="15.75" customWidth="1"/>
    <col min="16" max="26" width="8.4375" customWidth="1"/>
  </cols>
  <sheetData>
    <row r="1" spans="1:26" ht="16.5" customHeight="1">
      <c r="A1" s="1"/>
      <c r="B1" s="76" t="s">
        <v>0</v>
      </c>
      <c r="C1" s="77"/>
      <c r="D1" s="77"/>
      <c r="E1" s="77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77"/>
      <c r="C2" s="77"/>
      <c r="D2" s="77"/>
      <c r="E2" s="77"/>
      <c r="F2" s="3"/>
      <c r="G2" s="3"/>
      <c r="H2" s="3"/>
      <c r="I2" s="3"/>
      <c r="J2" s="3"/>
      <c r="K2" s="3"/>
      <c r="L2" s="3"/>
      <c r="M2" s="3"/>
      <c r="N2" s="4" t="s">
        <v>1</v>
      </c>
      <c r="O2" s="5">
        <f>O19</f>
        <v>15459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78">
        <v>2022</v>
      </c>
      <c r="C4" s="80" t="s">
        <v>2</v>
      </c>
      <c r="D4" s="81"/>
      <c r="E4" s="81"/>
      <c r="F4" s="82" t="s">
        <v>3</v>
      </c>
      <c r="G4" s="81"/>
      <c r="H4" s="81"/>
      <c r="I4" s="80" t="s">
        <v>4</v>
      </c>
      <c r="J4" s="81"/>
      <c r="K4" s="81"/>
      <c r="L4" s="82" t="s">
        <v>5</v>
      </c>
      <c r="M4" s="81"/>
      <c r="N4" s="81"/>
      <c r="O4" s="83" t="s">
        <v>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79"/>
      <c r="C5" s="8" t="s">
        <v>7</v>
      </c>
      <c r="D5" s="9" t="s">
        <v>8</v>
      </c>
      <c r="E5" s="9" t="s">
        <v>9</v>
      </c>
      <c r="F5" s="10" t="s">
        <v>10</v>
      </c>
      <c r="G5" s="11" t="s">
        <v>11</v>
      </c>
      <c r="H5" s="11" t="s">
        <v>12</v>
      </c>
      <c r="I5" s="8" t="s">
        <v>13</v>
      </c>
      <c r="J5" s="9" t="s">
        <v>14</v>
      </c>
      <c r="K5" s="9" t="s">
        <v>15</v>
      </c>
      <c r="L5" s="10" t="s">
        <v>16</v>
      </c>
      <c r="M5" s="11" t="s">
        <v>17</v>
      </c>
      <c r="N5" s="11" t="s">
        <v>18</v>
      </c>
      <c r="O5" s="7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2"/>
      <c r="B6" s="13" t="s">
        <v>19</v>
      </c>
      <c r="C6" s="14">
        <f t="shared" ref="C6:N6" si="0">SUM(C7:C14)</f>
        <v>0</v>
      </c>
      <c r="D6" s="15">
        <f t="shared" si="0"/>
        <v>0</v>
      </c>
      <c r="E6" s="15">
        <f t="shared" si="0"/>
        <v>0</v>
      </c>
      <c r="F6" s="16">
        <f t="shared" si="0"/>
        <v>51</v>
      </c>
      <c r="G6" s="17">
        <f t="shared" si="0"/>
        <v>51</v>
      </c>
      <c r="H6" s="17">
        <f t="shared" si="0"/>
        <v>51</v>
      </c>
      <c r="I6" s="14">
        <f t="shared" si="0"/>
        <v>51</v>
      </c>
      <c r="J6" s="15">
        <f t="shared" si="0"/>
        <v>51</v>
      </c>
      <c r="K6" s="15">
        <f t="shared" si="0"/>
        <v>51</v>
      </c>
      <c r="L6" s="16">
        <f t="shared" si="0"/>
        <v>5051</v>
      </c>
      <c r="M6" s="17">
        <f t="shared" si="0"/>
        <v>5051</v>
      </c>
      <c r="N6" s="17">
        <f t="shared" si="0"/>
        <v>5051</v>
      </c>
      <c r="O6" s="18">
        <f t="shared" ref="O6:O19" si="1">SUM(C6:N6)</f>
        <v>15459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.5" customHeight="1">
      <c r="A7" s="12"/>
      <c r="B7" s="19" t="s">
        <v>20</v>
      </c>
      <c r="C7" s="20">
        <v>0</v>
      </c>
      <c r="D7" s="20">
        <v>0</v>
      </c>
      <c r="E7" s="20">
        <v>0</v>
      </c>
      <c r="F7" s="21">
        <f>(1*Kanäle!$B$7)+(1*Kanäle!$C$7)+(1*Kanäle!$D$7)+(1*Kanäle!$E$7)</f>
        <v>0</v>
      </c>
      <c r="G7" s="21">
        <f>(1*Kanäle!$B$7)+(1*Kanäle!$C$7)+(1*Kanäle!$D$7)+(1*Kanäle!$E$7)</f>
        <v>0</v>
      </c>
      <c r="H7" s="21">
        <f>(1*Kanäle!$B$7)+(1*Kanäle!$C$7)+(1*Kanäle!$D$7)+(1*Kanäle!$E$7)</f>
        <v>0</v>
      </c>
      <c r="I7" s="20">
        <f>(1*Kanäle!$B$7)+(2*Kanäle!$C$7)+(2*Kanäle!$D$7)+(2*Kanäle!$E$7)</f>
        <v>0</v>
      </c>
      <c r="J7" s="20">
        <f>(1*Kanäle!$B$7)+(2*Kanäle!$C$7)+(2*Kanäle!$D$7)+(2*Kanäle!$E$7)</f>
        <v>0</v>
      </c>
      <c r="K7" s="20">
        <f>(1*Kanäle!$B$7)+(2*Kanäle!$C$7)+(2*Kanäle!$D$7)+(2*Kanäle!$E$7)</f>
        <v>0</v>
      </c>
      <c r="L7" s="21">
        <v>5000</v>
      </c>
      <c r="M7" s="21">
        <v>5000</v>
      </c>
      <c r="N7" s="21">
        <v>5000</v>
      </c>
      <c r="O7" s="18">
        <f t="shared" si="1"/>
        <v>15000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5" customHeight="1">
      <c r="A8" s="12"/>
      <c r="B8" s="19" t="s">
        <v>21</v>
      </c>
      <c r="C8" s="20">
        <v>0</v>
      </c>
      <c r="D8" s="20">
        <v>0</v>
      </c>
      <c r="E8" s="20">
        <v>0</v>
      </c>
      <c r="F8" s="21">
        <f>Kanäle!$D$11+Kanäle!$E$11</f>
        <v>0</v>
      </c>
      <c r="G8" s="21">
        <f>Kanäle!$D$11+Kanäle!$E$11</f>
        <v>0</v>
      </c>
      <c r="H8" s="21">
        <f>Kanäle!$D$11+Kanäle!$E$11</f>
        <v>0</v>
      </c>
      <c r="I8" s="20">
        <f>Kanäle!$D$11+Kanäle!$E$11</f>
        <v>0</v>
      </c>
      <c r="J8" s="20">
        <f>Kanäle!$D$11+Kanäle!$E$11</f>
        <v>0</v>
      </c>
      <c r="K8" s="20">
        <f>Kanäle!$D$11+Kanäle!$E$11</f>
        <v>0</v>
      </c>
      <c r="L8" s="21">
        <f>Kanäle!$D$11+Kanäle!$E$11</f>
        <v>0</v>
      </c>
      <c r="M8" s="21">
        <f>Kanäle!$D$11+Kanäle!$E$11</f>
        <v>0</v>
      </c>
      <c r="N8" s="21">
        <f>Kanäle!$D$11+Kanäle!$E$11</f>
        <v>0</v>
      </c>
      <c r="O8" s="18">
        <f t="shared" si="1"/>
        <v>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.5" customHeight="1">
      <c r="A9" s="12"/>
      <c r="B9" s="19" t="s">
        <v>22</v>
      </c>
      <c r="C9" s="20">
        <v>0</v>
      </c>
      <c r="D9" s="20">
        <v>0</v>
      </c>
      <c r="E9" s="20">
        <v>0</v>
      </c>
      <c r="F9" s="21">
        <v>0</v>
      </c>
      <c r="G9" s="21">
        <v>0</v>
      </c>
      <c r="H9" s="21">
        <f>Kanäle!$B$15+Kanäle!$C$15+Kanäle!$D$15+Kanäle!$E$15+Kanäle!$F$15+Kanäle!$G$15</f>
        <v>0</v>
      </c>
      <c r="I9" s="20">
        <v>0</v>
      </c>
      <c r="J9" s="20">
        <v>0</v>
      </c>
      <c r="K9" s="20">
        <f>Kanäle!$B$15+Kanäle!$C$15+Kanäle!$D$15+Kanäle!$E$15+Kanäle!$F$15+Kanäle!$G$15</f>
        <v>0</v>
      </c>
      <c r="L9" s="21">
        <v>0</v>
      </c>
      <c r="M9" s="21">
        <v>0</v>
      </c>
      <c r="N9" s="21">
        <f>Kanäle!$B$15+Kanäle!$C$15+Kanäle!$D$15+Kanäle!$E$15+Kanäle!$F$15+Kanäle!$G$15</f>
        <v>0</v>
      </c>
      <c r="O9" s="18">
        <f t="shared" si="1"/>
        <v>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.5" customHeight="1">
      <c r="A10" s="12"/>
      <c r="B10" s="19" t="s">
        <v>23</v>
      </c>
      <c r="C10" s="20">
        <v>0</v>
      </c>
      <c r="D10" s="20">
        <v>0</v>
      </c>
      <c r="E10" s="20">
        <v>0</v>
      </c>
      <c r="F10" s="21"/>
      <c r="G10" s="21"/>
      <c r="H10" s="21"/>
      <c r="I10" s="20"/>
      <c r="J10" s="20"/>
      <c r="K10" s="20"/>
      <c r="L10" s="21"/>
      <c r="M10" s="21"/>
      <c r="N10" s="21"/>
      <c r="O10" s="18">
        <f t="shared" si="1"/>
        <v>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.5" customHeight="1">
      <c r="A11" s="12"/>
      <c r="B11" s="19" t="s">
        <v>24</v>
      </c>
      <c r="C11" s="20">
        <v>0</v>
      </c>
      <c r="D11" s="20">
        <v>0</v>
      </c>
      <c r="E11" s="20">
        <v>0</v>
      </c>
      <c r="F11" s="21"/>
      <c r="G11" s="21"/>
      <c r="H11" s="21"/>
      <c r="I11" s="20"/>
      <c r="J11" s="20"/>
      <c r="K11" s="20"/>
      <c r="L11" s="21"/>
      <c r="M11" s="21"/>
      <c r="N11" s="21"/>
      <c r="O11" s="18">
        <f t="shared" si="1"/>
        <v>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.5" customHeight="1">
      <c r="A12" s="12"/>
      <c r="B12" s="19" t="s">
        <v>25</v>
      </c>
      <c r="C12" s="20">
        <v>0</v>
      </c>
      <c r="D12" s="20">
        <v>0</v>
      </c>
      <c r="E12" s="20">
        <v>0</v>
      </c>
      <c r="F12" s="21"/>
      <c r="G12" s="21"/>
      <c r="H12" s="21"/>
      <c r="I12" s="20"/>
      <c r="J12" s="20"/>
      <c r="K12" s="20"/>
      <c r="L12" s="21"/>
      <c r="M12" s="21"/>
      <c r="N12" s="21"/>
      <c r="O12" s="18">
        <f t="shared" si="1"/>
        <v>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.5" customHeight="1">
      <c r="A13" s="12"/>
      <c r="B13" s="19" t="s">
        <v>26</v>
      </c>
      <c r="C13" s="20">
        <v>0</v>
      </c>
      <c r="D13" s="20">
        <v>0</v>
      </c>
      <c r="E13" s="20">
        <v>0</v>
      </c>
      <c r="F13" s="21"/>
      <c r="G13" s="21"/>
      <c r="H13" s="21"/>
      <c r="I13" s="20"/>
      <c r="J13" s="20"/>
      <c r="K13" s="20"/>
      <c r="L13" s="21"/>
      <c r="M13" s="21"/>
      <c r="N13" s="21"/>
      <c r="O13" s="18">
        <f t="shared" si="1"/>
        <v>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5" customHeight="1">
      <c r="A14" s="12"/>
      <c r="B14" s="19" t="s">
        <v>27</v>
      </c>
      <c r="C14" s="20">
        <v>0</v>
      </c>
      <c r="D14" s="20">
        <v>0</v>
      </c>
      <c r="E14" s="20">
        <v>0</v>
      </c>
      <c r="F14" s="21">
        <f>Kanäle!$B$38+Kanäle!$C$38+Kanäle!$E$38</f>
        <v>51</v>
      </c>
      <c r="G14" s="21">
        <f>Kanäle!$B$38+Kanäle!$C$38+Kanäle!$E$38</f>
        <v>51</v>
      </c>
      <c r="H14" s="21">
        <f>Kanäle!$B$38+Kanäle!$C$38+Kanäle!$E$38</f>
        <v>51</v>
      </c>
      <c r="I14" s="20">
        <f>Kanäle!$B$38+Kanäle!$C$38+Kanäle!$E$38</f>
        <v>51</v>
      </c>
      <c r="J14" s="20">
        <f>Kanäle!$B$38+Kanäle!$C$38+Kanäle!$E$38</f>
        <v>51</v>
      </c>
      <c r="K14" s="20">
        <f>Kanäle!$B$38+Kanäle!$C$38+Kanäle!$E$38</f>
        <v>51</v>
      </c>
      <c r="L14" s="21">
        <f>Kanäle!$B$38+Kanäle!$C$38+Kanäle!$E$38</f>
        <v>51</v>
      </c>
      <c r="M14" s="21">
        <f>Kanäle!$B$38+Kanäle!$C$38+Kanäle!$E$38</f>
        <v>51</v>
      </c>
      <c r="N14" s="21">
        <f>Kanäle!$B$38+Kanäle!$C$38+Kanäle!$E$38</f>
        <v>51</v>
      </c>
      <c r="O14" s="18">
        <f t="shared" si="1"/>
        <v>459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6.5" customHeight="1">
      <c r="A15" s="12"/>
      <c r="B15" s="22" t="s">
        <v>28</v>
      </c>
      <c r="C15" s="20">
        <v>0</v>
      </c>
      <c r="D15" s="20">
        <v>0</v>
      </c>
      <c r="E15" s="20">
        <v>0</v>
      </c>
      <c r="F15" s="21">
        <v>0</v>
      </c>
      <c r="G15" s="21">
        <v>0</v>
      </c>
      <c r="H15" s="21">
        <v>0</v>
      </c>
      <c r="I15" s="20">
        <v>0</v>
      </c>
      <c r="J15" s="20">
        <v>0</v>
      </c>
      <c r="K15" s="20">
        <v>0</v>
      </c>
      <c r="L15" s="21">
        <v>0</v>
      </c>
      <c r="M15" s="21">
        <v>0</v>
      </c>
      <c r="N15" s="21">
        <v>0</v>
      </c>
      <c r="O15" s="18">
        <f t="shared" si="1"/>
        <v>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6.5" customHeight="1">
      <c r="A16" s="12"/>
      <c r="B16" s="13" t="s">
        <v>29</v>
      </c>
      <c r="C16" s="14">
        <f t="shared" ref="C16:N16" si="2">SUM(C17:C18)</f>
        <v>0</v>
      </c>
      <c r="D16" s="14">
        <f t="shared" si="2"/>
        <v>0</v>
      </c>
      <c r="E16" s="14">
        <f t="shared" si="2"/>
        <v>0</v>
      </c>
      <c r="F16" s="14">
        <f t="shared" si="2"/>
        <v>0</v>
      </c>
      <c r="G16" s="14">
        <f t="shared" si="2"/>
        <v>0</v>
      </c>
      <c r="H16" s="14">
        <f t="shared" si="2"/>
        <v>0</v>
      </c>
      <c r="I16" s="14">
        <f t="shared" si="2"/>
        <v>0</v>
      </c>
      <c r="J16" s="14">
        <f t="shared" si="2"/>
        <v>0</v>
      </c>
      <c r="K16" s="14">
        <f t="shared" si="2"/>
        <v>0</v>
      </c>
      <c r="L16" s="14">
        <f t="shared" si="2"/>
        <v>0</v>
      </c>
      <c r="M16" s="14">
        <f t="shared" si="2"/>
        <v>0</v>
      </c>
      <c r="N16" s="14">
        <f t="shared" si="2"/>
        <v>0</v>
      </c>
      <c r="O16" s="18">
        <f t="shared" si="1"/>
        <v>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5" customHeight="1">
      <c r="A17" s="12"/>
      <c r="B17" s="19" t="s">
        <v>30</v>
      </c>
      <c r="C17" s="20">
        <v>0</v>
      </c>
      <c r="D17" s="20">
        <v>0</v>
      </c>
      <c r="E17" s="20">
        <f>Invest!$B$3+Invest!$C$3+Kanäle!$B$42+Kanäle!$C$42</f>
        <v>0</v>
      </c>
      <c r="F17" s="21">
        <v>0</v>
      </c>
      <c r="G17" s="21">
        <v>0</v>
      </c>
      <c r="H17" s="21"/>
      <c r="I17" s="20">
        <v>0</v>
      </c>
      <c r="J17" s="20">
        <v>0</v>
      </c>
      <c r="K17" s="20">
        <v>0</v>
      </c>
      <c r="L17" s="21">
        <v>0</v>
      </c>
      <c r="M17" s="21">
        <v>0</v>
      </c>
      <c r="N17" s="21">
        <v>0</v>
      </c>
      <c r="O17" s="18">
        <f t="shared" si="1"/>
        <v>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5" customHeight="1">
      <c r="A18" s="12"/>
      <c r="B18" s="23" t="s">
        <v>31</v>
      </c>
      <c r="C18" s="20">
        <v>0</v>
      </c>
      <c r="D18" s="20">
        <v>0</v>
      </c>
      <c r="E18" s="20">
        <f>Invest!$B$9+Invest!$C$9</f>
        <v>0</v>
      </c>
      <c r="F18" s="21">
        <f>Invest!$B$9+Invest!$C$9</f>
        <v>0</v>
      </c>
      <c r="G18" s="21">
        <f>Invest!$B$9+Invest!$C$9</f>
        <v>0</v>
      </c>
      <c r="H18" s="21">
        <f>Invest!$B$9+Invest!$C$9</f>
        <v>0</v>
      </c>
      <c r="I18" s="20">
        <v>0</v>
      </c>
      <c r="J18" s="20">
        <v>0</v>
      </c>
      <c r="K18" s="20">
        <v>0</v>
      </c>
      <c r="L18" s="21">
        <v>0</v>
      </c>
      <c r="M18" s="21">
        <v>0</v>
      </c>
      <c r="N18" s="21">
        <v>0</v>
      </c>
      <c r="O18" s="18">
        <f t="shared" si="1"/>
        <v>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5" customHeight="1">
      <c r="A19" s="12"/>
      <c r="B19" s="10" t="s">
        <v>32</v>
      </c>
      <c r="C19" s="24">
        <f t="shared" ref="C19:N19" si="3">SUM(C6+C16)</f>
        <v>0</v>
      </c>
      <c r="D19" s="24">
        <f t="shared" si="3"/>
        <v>0</v>
      </c>
      <c r="E19" s="24">
        <f t="shared" si="3"/>
        <v>0</v>
      </c>
      <c r="F19" s="24">
        <f t="shared" si="3"/>
        <v>51</v>
      </c>
      <c r="G19" s="24">
        <f t="shared" si="3"/>
        <v>51</v>
      </c>
      <c r="H19" s="24">
        <f t="shared" si="3"/>
        <v>51</v>
      </c>
      <c r="I19" s="24">
        <f t="shared" si="3"/>
        <v>51</v>
      </c>
      <c r="J19" s="24">
        <f t="shared" si="3"/>
        <v>51</v>
      </c>
      <c r="K19" s="24">
        <f t="shared" si="3"/>
        <v>51</v>
      </c>
      <c r="L19" s="24">
        <f t="shared" si="3"/>
        <v>5051</v>
      </c>
      <c r="M19" s="24">
        <f t="shared" si="3"/>
        <v>5051</v>
      </c>
      <c r="N19" s="24">
        <f t="shared" si="3"/>
        <v>5051</v>
      </c>
      <c r="O19" s="25">
        <f t="shared" si="1"/>
        <v>15459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5" customHeight="1">
      <c r="A20" s="1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78">
        <v>2023</v>
      </c>
      <c r="C22" s="80" t="s">
        <v>2</v>
      </c>
      <c r="D22" s="81"/>
      <c r="E22" s="81"/>
      <c r="F22" s="84" t="s">
        <v>3</v>
      </c>
      <c r="G22" s="81"/>
      <c r="H22" s="81"/>
      <c r="I22" s="85" t="s">
        <v>4</v>
      </c>
      <c r="J22" s="81"/>
      <c r="K22" s="81"/>
      <c r="L22" s="84" t="s">
        <v>5</v>
      </c>
      <c r="M22" s="81"/>
      <c r="N22" s="81"/>
      <c r="O22" s="86" t="s">
        <v>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79"/>
      <c r="C23" s="8" t="s">
        <v>7</v>
      </c>
      <c r="D23" s="9" t="s">
        <v>8</v>
      </c>
      <c r="E23" s="9" t="s">
        <v>9</v>
      </c>
      <c r="F23" s="10" t="s">
        <v>10</v>
      </c>
      <c r="G23" s="11" t="s">
        <v>11</v>
      </c>
      <c r="H23" s="11" t="s">
        <v>12</v>
      </c>
      <c r="I23" s="8" t="s">
        <v>13</v>
      </c>
      <c r="J23" s="9" t="s">
        <v>14</v>
      </c>
      <c r="K23" s="9" t="s">
        <v>15</v>
      </c>
      <c r="L23" s="10" t="s">
        <v>16</v>
      </c>
      <c r="M23" s="11" t="s">
        <v>17</v>
      </c>
      <c r="N23" s="11" t="s">
        <v>18</v>
      </c>
      <c r="O23" s="8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3" t="s">
        <v>19</v>
      </c>
      <c r="C24" s="14">
        <f t="shared" ref="C24:N24" si="4">SUM(C25:C32)</f>
        <v>20342.7</v>
      </c>
      <c r="D24" s="15">
        <f t="shared" si="4"/>
        <v>18101.599999999999</v>
      </c>
      <c r="E24" s="15">
        <f t="shared" si="4"/>
        <v>20238.82</v>
      </c>
      <c r="F24" s="16">
        <f t="shared" si="4"/>
        <v>19530.100000000002</v>
      </c>
      <c r="G24" s="17">
        <f t="shared" si="4"/>
        <v>16738.68</v>
      </c>
      <c r="H24" s="17">
        <f t="shared" si="4"/>
        <v>17094.920000000002</v>
      </c>
      <c r="I24" s="14">
        <f t="shared" si="4"/>
        <v>19801.400000000001</v>
      </c>
      <c r="J24" s="15">
        <f t="shared" si="4"/>
        <v>16160.05</v>
      </c>
      <c r="K24" s="15">
        <f t="shared" si="4"/>
        <v>18293.640000000003</v>
      </c>
      <c r="L24" s="16">
        <f t="shared" si="4"/>
        <v>17406.829999999998</v>
      </c>
      <c r="M24" s="17">
        <f t="shared" si="4"/>
        <v>16733.310000000001</v>
      </c>
      <c r="N24" s="17">
        <f t="shared" si="4"/>
        <v>23583.800000000003</v>
      </c>
      <c r="O24" s="29">
        <f t="shared" ref="O24:O37" si="5">SUM(C24:N24)</f>
        <v>224025.84999999998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9" t="s">
        <v>20</v>
      </c>
      <c r="C25" s="20">
        <v>5555</v>
      </c>
      <c r="D25" s="20">
        <v>2510</v>
      </c>
      <c r="E25" s="20">
        <v>2510</v>
      </c>
      <c r="F25" s="21">
        <v>2510</v>
      </c>
      <c r="G25" s="21">
        <v>0</v>
      </c>
      <c r="H25" s="21">
        <v>449.25</v>
      </c>
      <c r="I25" s="20">
        <v>149.75</v>
      </c>
      <c r="J25" s="20">
        <v>149.75</v>
      </c>
      <c r="K25" s="20">
        <v>149.75</v>
      </c>
      <c r="L25" s="21">
        <v>149.75</v>
      </c>
      <c r="M25" s="21">
        <v>149.75</v>
      </c>
      <c r="N25" s="21">
        <v>149.75</v>
      </c>
      <c r="O25" s="18">
        <v>14432.75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9" t="s">
        <v>21</v>
      </c>
      <c r="C26" s="20">
        <v>0</v>
      </c>
      <c r="D26" s="20">
        <v>0</v>
      </c>
      <c r="E26" s="20">
        <v>0</v>
      </c>
      <c r="F26" s="21">
        <f>Kanäle!$D$11+Kanäle!$E$11</f>
        <v>0</v>
      </c>
      <c r="G26" s="21">
        <f>Kanäle!$D$11+Kanäle!$E$11</f>
        <v>0</v>
      </c>
      <c r="H26" s="21">
        <f>Kanäle!$D$11+Kanäle!$E$11</f>
        <v>0</v>
      </c>
      <c r="I26" s="20">
        <f>Kanäle!$D$11+Kanäle!$E$11</f>
        <v>0</v>
      </c>
      <c r="J26" s="20">
        <f>Kanäle!$D$11+Kanäle!$E$11</f>
        <v>0</v>
      </c>
      <c r="K26" s="20">
        <f>Kanäle!$D$11+Kanäle!$E$11</f>
        <v>0</v>
      </c>
      <c r="L26" s="21">
        <f>Kanäle!$D$11+Kanäle!$E$11</f>
        <v>0</v>
      </c>
      <c r="M26" s="21">
        <f>Kanäle!$D$11+Kanäle!$E$11</f>
        <v>0</v>
      </c>
      <c r="N26" s="21">
        <f>Kanäle!$D$11+Kanäle!$E$11</f>
        <v>0</v>
      </c>
      <c r="O26" s="18">
        <f t="shared" si="5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9" t="s">
        <v>22</v>
      </c>
      <c r="C27" s="20">
        <v>0</v>
      </c>
      <c r="D27" s="20">
        <v>0</v>
      </c>
      <c r="E27" s="20">
        <v>372.45</v>
      </c>
      <c r="F27" s="21">
        <v>124.15</v>
      </c>
      <c r="G27" s="21">
        <v>124.15</v>
      </c>
      <c r="H27" s="21">
        <v>124.15</v>
      </c>
      <c r="I27" s="20">
        <v>3228</v>
      </c>
      <c r="J27" s="20">
        <v>0</v>
      </c>
      <c r="K27" s="20">
        <v>568</v>
      </c>
      <c r="L27" s="21">
        <v>0</v>
      </c>
      <c r="M27" s="21">
        <v>0</v>
      </c>
      <c r="N27" s="21">
        <v>0</v>
      </c>
      <c r="O27" s="18">
        <v>4540.8999999999996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9" t="s">
        <v>23</v>
      </c>
      <c r="C28" s="20">
        <v>9111.7000000000007</v>
      </c>
      <c r="D28" s="20">
        <v>9915.6</v>
      </c>
      <c r="E28" s="20">
        <v>11271.23</v>
      </c>
      <c r="F28" s="21">
        <v>11083.57</v>
      </c>
      <c r="G28" s="21">
        <v>10802.15</v>
      </c>
      <c r="H28" s="21">
        <v>10709.14</v>
      </c>
      <c r="I28" s="20">
        <v>10611.27</v>
      </c>
      <c r="J28" s="20">
        <v>10197.92</v>
      </c>
      <c r="K28" s="20">
        <v>11763.51</v>
      </c>
      <c r="L28" s="21">
        <v>10651.41</v>
      </c>
      <c r="M28" s="21">
        <v>10771.18</v>
      </c>
      <c r="N28" s="21">
        <v>15418.47</v>
      </c>
      <c r="O28" s="18">
        <v>132307.15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9" t="s">
        <v>24</v>
      </c>
      <c r="C29" s="20">
        <v>4500</v>
      </c>
      <c r="D29" s="20">
        <v>4500</v>
      </c>
      <c r="E29" s="20">
        <v>4500</v>
      </c>
      <c r="F29" s="21">
        <f>Kanäle!$C$24+Kanäle!$D$24+Kanäle!$E$24</f>
        <v>4500</v>
      </c>
      <c r="G29" s="21">
        <f>Kanäle!$C$24+Kanäle!$D$24+Kanäle!$E$24</f>
        <v>4500</v>
      </c>
      <c r="H29" s="21">
        <f>Kanäle!$C$24+Kanäle!$D$24+Kanäle!$E$24</f>
        <v>4500</v>
      </c>
      <c r="I29" s="20">
        <f>Kanäle!$C$24+Kanäle!$D$24+Kanäle!$E$24</f>
        <v>4500</v>
      </c>
      <c r="J29" s="20">
        <f>Kanäle!$C$24+Kanäle!$D$24+Kanäle!$E$24</f>
        <v>4500</v>
      </c>
      <c r="K29" s="20">
        <f>Kanäle!$C$24+Kanäle!$D$24+Kanäle!$E$24</f>
        <v>4500</v>
      </c>
      <c r="L29" s="21">
        <f>Kanäle!$C$24+Kanäle!$D$24+Kanäle!$E$24</f>
        <v>4500</v>
      </c>
      <c r="M29" s="21">
        <f>Kanäle!$C$24+Kanäle!$D$24+Kanäle!$E$24</f>
        <v>4500</v>
      </c>
      <c r="N29" s="21">
        <f>Kanäle!$C$24+Kanäle!$D$24+Kanäle!$E$24</f>
        <v>4500</v>
      </c>
      <c r="O29" s="18">
        <f t="shared" si="5"/>
        <v>54000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9" t="s">
        <v>25</v>
      </c>
      <c r="C30" s="20">
        <v>1125</v>
      </c>
      <c r="D30" s="20">
        <v>1125</v>
      </c>
      <c r="E30" s="20">
        <v>1125</v>
      </c>
      <c r="F30" s="21">
        <f>Kanäle!$B$29</f>
        <v>1125</v>
      </c>
      <c r="G30" s="21">
        <f>Kanäle!$B$29</f>
        <v>1125</v>
      </c>
      <c r="H30" s="21">
        <f>Kanäle!$B$29</f>
        <v>1125</v>
      </c>
      <c r="I30" s="20">
        <f>Kanäle!$B$29</f>
        <v>1125</v>
      </c>
      <c r="J30" s="20">
        <f>Kanäle!$B$29</f>
        <v>1125</v>
      </c>
      <c r="K30" s="20">
        <f>Kanäle!$B$29</f>
        <v>1125</v>
      </c>
      <c r="L30" s="21">
        <f>Kanäle!$B$29</f>
        <v>1125</v>
      </c>
      <c r="M30" s="21">
        <f>Kanäle!$B$29</f>
        <v>1125</v>
      </c>
      <c r="N30" s="21">
        <f>Kanäle!$B$29</f>
        <v>1125</v>
      </c>
      <c r="O30" s="18">
        <f t="shared" si="5"/>
        <v>13500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9" t="s">
        <v>26</v>
      </c>
      <c r="C31" s="20">
        <v>0</v>
      </c>
      <c r="D31" s="20">
        <v>0</v>
      </c>
      <c r="E31" s="20">
        <v>409.14</v>
      </c>
      <c r="F31" s="21">
        <v>136.38</v>
      </c>
      <c r="G31" s="21">
        <v>136.38</v>
      </c>
      <c r="H31" s="21">
        <v>136.38</v>
      </c>
      <c r="I31" s="20">
        <v>136.38</v>
      </c>
      <c r="J31" s="20">
        <v>136.38</v>
      </c>
      <c r="K31" s="20">
        <v>136.38</v>
      </c>
      <c r="L31" s="21">
        <v>929.67</v>
      </c>
      <c r="M31" s="21">
        <v>136.38</v>
      </c>
      <c r="N31" s="21">
        <v>2339.58</v>
      </c>
      <c r="O31" s="18">
        <v>4633.05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9" t="s">
        <v>27</v>
      </c>
      <c r="C32" s="20">
        <v>51</v>
      </c>
      <c r="D32" s="20">
        <v>51</v>
      </c>
      <c r="E32" s="20">
        <v>51</v>
      </c>
      <c r="F32" s="21">
        <f>Kanäle!$B$38+Kanäle!$C$38+Kanäle!$E$38</f>
        <v>51</v>
      </c>
      <c r="G32" s="21">
        <f>Kanäle!$B$38+Kanäle!$C$38+Kanäle!$E$38</f>
        <v>51</v>
      </c>
      <c r="H32" s="21">
        <f>Kanäle!$B$38+Kanäle!$C$38+Kanäle!$E$38</f>
        <v>51</v>
      </c>
      <c r="I32" s="20">
        <f>Kanäle!$B$38+Kanäle!$C$38+Kanäle!$E$38</f>
        <v>51</v>
      </c>
      <c r="J32" s="20">
        <f>Kanäle!$B$38+Kanäle!$C$38+Kanäle!$E$38</f>
        <v>51</v>
      </c>
      <c r="K32" s="20">
        <f>Kanäle!$B$38+Kanäle!$C$38+Kanäle!$E$38</f>
        <v>51</v>
      </c>
      <c r="L32" s="21">
        <f>Kanäle!$B$38+Kanäle!$C$38+Kanäle!$E$38</f>
        <v>51</v>
      </c>
      <c r="M32" s="21">
        <f>Kanäle!$B$38+Kanäle!$C$38+Kanäle!$E$38</f>
        <v>51</v>
      </c>
      <c r="N32" s="21">
        <f>Kanäle!$B$38+Kanäle!$C$38+Kanäle!$E$38</f>
        <v>51</v>
      </c>
      <c r="O32" s="18">
        <f t="shared" si="5"/>
        <v>612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2" t="s">
        <v>28</v>
      </c>
      <c r="C33" s="20">
        <v>0</v>
      </c>
      <c r="D33" s="20">
        <v>0</v>
      </c>
      <c r="E33" s="20">
        <v>0</v>
      </c>
      <c r="F33" s="21">
        <v>0</v>
      </c>
      <c r="G33" s="21">
        <v>0</v>
      </c>
      <c r="H33" s="21">
        <v>0</v>
      </c>
      <c r="I33" s="20">
        <v>0</v>
      </c>
      <c r="J33" s="20">
        <v>0</v>
      </c>
      <c r="K33" s="20">
        <v>0</v>
      </c>
      <c r="L33" s="21">
        <v>0</v>
      </c>
      <c r="M33" s="21">
        <v>0</v>
      </c>
      <c r="N33" s="21">
        <v>0</v>
      </c>
      <c r="O33" s="18">
        <f t="shared" si="5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3" t="s">
        <v>33</v>
      </c>
      <c r="C34" s="14">
        <v>0</v>
      </c>
      <c r="D34" s="14">
        <v>195</v>
      </c>
      <c r="E34" s="14">
        <v>688</v>
      </c>
      <c r="F34" s="14">
        <v>0</v>
      </c>
      <c r="G34" s="14">
        <v>468</v>
      </c>
      <c r="H34" s="14">
        <v>0</v>
      </c>
      <c r="I34" s="14">
        <v>1044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8">
        <v>2395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9" t="s">
        <v>30</v>
      </c>
      <c r="C35" s="20">
        <v>2500</v>
      </c>
      <c r="D35" s="20"/>
      <c r="E35" s="20"/>
      <c r="F35" s="21">
        <f>Kanäle!$B$42+Kanäle!$C$42+Invest!$D$3</f>
        <v>0</v>
      </c>
      <c r="G35" s="21"/>
      <c r="H35" s="21"/>
      <c r="I35" s="20">
        <f>Kanäle!$B$42+Kanäle!$C$42+Invest!$D$3</f>
        <v>0</v>
      </c>
      <c r="J35" s="20"/>
      <c r="K35" s="20"/>
      <c r="L35" s="21">
        <f>Kanäle!$B$42+Kanäle!$C$42+Invest!$D$3</f>
        <v>0</v>
      </c>
      <c r="M35" s="21"/>
      <c r="N35" s="21"/>
      <c r="O35" s="18">
        <f t="shared" si="5"/>
        <v>2500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3" t="s">
        <v>34</v>
      </c>
      <c r="C36" s="20"/>
      <c r="D36" s="20"/>
      <c r="E36" s="20">
        <f>Invest!$B$9+Invest!$C$9</f>
        <v>0</v>
      </c>
      <c r="F36" s="21">
        <f>Invest!$B$9+Invest!$C$9</f>
        <v>0</v>
      </c>
      <c r="G36" s="21">
        <f>Invest!$B$9+Invest!$C$9</f>
        <v>0</v>
      </c>
      <c r="H36" s="21">
        <f>Invest!$B$9+Invest!$C$9</f>
        <v>0</v>
      </c>
      <c r="I36" s="20">
        <f>Invest!$B$9+Invest!$C$9</f>
        <v>0</v>
      </c>
      <c r="J36" s="20">
        <f>Invest!$B$9+Invest!$C$9</f>
        <v>0</v>
      </c>
      <c r="K36" s="20">
        <f>Invest!$B$9+Invest!$C$9</f>
        <v>0</v>
      </c>
      <c r="L36" s="21">
        <f>Invest!$B$9+Invest!$C$9</f>
        <v>0</v>
      </c>
      <c r="M36" s="21">
        <f>Invest!$B$9+Invest!$C$9</f>
        <v>0</v>
      </c>
      <c r="N36" s="21">
        <f>Invest!$B$9+Invest!$C$9</f>
        <v>0</v>
      </c>
      <c r="O36" s="18">
        <f t="shared" si="5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0" t="s">
        <v>32</v>
      </c>
      <c r="C37" s="24">
        <f t="shared" ref="C37:N37" si="6">SUM(C24+C34)</f>
        <v>20342.7</v>
      </c>
      <c r="D37" s="24">
        <f t="shared" si="6"/>
        <v>18296.599999999999</v>
      </c>
      <c r="E37" s="24">
        <f t="shared" si="6"/>
        <v>20926.82</v>
      </c>
      <c r="F37" s="24">
        <f t="shared" si="6"/>
        <v>19530.100000000002</v>
      </c>
      <c r="G37" s="24">
        <f t="shared" si="6"/>
        <v>17206.68</v>
      </c>
      <c r="H37" s="24">
        <f t="shared" si="6"/>
        <v>17094.920000000002</v>
      </c>
      <c r="I37" s="24">
        <f t="shared" si="6"/>
        <v>20845.400000000001</v>
      </c>
      <c r="J37" s="24">
        <f t="shared" si="6"/>
        <v>16160.05</v>
      </c>
      <c r="K37" s="24">
        <f t="shared" si="6"/>
        <v>18293.640000000003</v>
      </c>
      <c r="L37" s="24">
        <f t="shared" si="6"/>
        <v>17406.829999999998</v>
      </c>
      <c r="M37" s="24">
        <f t="shared" si="6"/>
        <v>16733.310000000001</v>
      </c>
      <c r="N37" s="24">
        <f t="shared" si="6"/>
        <v>23583.800000000003</v>
      </c>
      <c r="O37" s="25">
        <f t="shared" si="5"/>
        <v>226420.84999999998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78">
        <v>2024</v>
      </c>
      <c r="C40" s="80" t="s">
        <v>2</v>
      </c>
      <c r="D40" s="81"/>
      <c r="E40" s="81"/>
      <c r="F40" s="84" t="s">
        <v>3</v>
      </c>
      <c r="G40" s="81"/>
      <c r="H40" s="81"/>
      <c r="I40" s="85" t="s">
        <v>4</v>
      </c>
      <c r="J40" s="81"/>
      <c r="K40" s="81"/>
      <c r="L40" s="84" t="s">
        <v>5</v>
      </c>
      <c r="M40" s="81"/>
      <c r="N40" s="81"/>
      <c r="O40" s="86" t="s">
        <v>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79"/>
      <c r="C41" s="8" t="s">
        <v>7</v>
      </c>
      <c r="D41" s="9" t="s">
        <v>8</v>
      </c>
      <c r="E41" s="9" t="s">
        <v>9</v>
      </c>
      <c r="F41" s="10" t="s">
        <v>10</v>
      </c>
      <c r="G41" s="11" t="s">
        <v>11</v>
      </c>
      <c r="H41" s="11" t="s">
        <v>12</v>
      </c>
      <c r="I41" s="8" t="s">
        <v>13</v>
      </c>
      <c r="J41" s="9" t="s">
        <v>14</v>
      </c>
      <c r="K41" s="9" t="s">
        <v>15</v>
      </c>
      <c r="L41" s="10" t="s">
        <v>16</v>
      </c>
      <c r="M41" s="11" t="s">
        <v>17</v>
      </c>
      <c r="N41" s="11" t="s">
        <v>18</v>
      </c>
      <c r="O41" s="8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3" t="s">
        <v>19</v>
      </c>
      <c r="C42" s="14">
        <f t="shared" ref="C42:N42" si="7">SUM(C43:C50)</f>
        <v>17403.800000000003</v>
      </c>
      <c r="D42" s="15">
        <f t="shared" si="7"/>
        <v>18080.18</v>
      </c>
      <c r="E42" s="15">
        <f t="shared" si="7"/>
        <v>18351.420000000002</v>
      </c>
      <c r="F42" s="16">
        <f t="shared" si="7"/>
        <v>22781.920000000002</v>
      </c>
      <c r="G42" s="17">
        <f t="shared" si="7"/>
        <v>21593.280000000002</v>
      </c>
      <c r="H42" s="17">
        <f t="shared" si="7"/>
        <v>45644.909999999996</v>
      </c>
      <c r="I42" s="14">
        <f t="shared" si="7"/>
        <v>22143.49</v>
      </c>
      <c r="J42" s="15">
        <f t="shared" si="7"/>
        <v>22143.73</v>
      </c>
      <c r="K42" s="15">
        <f t="shared" si="7"/>
        <v>25563.66</v>
      </c>
      <c r="L42" s="16">
        <f t="shared" si="7"/>
        <v>25426.519999999997</v>
      </c>
      <c r="M42" s="17">
        <f t="shared" si="7"/>
        <v>25556.44</v>
      </c>
      <c r="N42" s="17">
        <f t="shared" si="7"/>
        <v>23782.820000000003</v>
      </c>
      <c r="O42" s="29">
        <f t="shared" ref="O42:O55" si="8">SUM(C42:N42)</f>
        <v>288472.17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9" t="s">
        <v>20</v>
      </c>
      <c r="C43" s="20">
        <v>149.75</v>
      </c>
      <c r="D43" s="20">
        <v>149.75</v>
      </c>
      <c r="E43" s="20">
        <v>149.75</v>
      </c>
      <c r="F43" s="21">
        <v>0</v>
      </c>
      <c r="G43" s="21">
        <v>0</v>
      </c>
      <c r="H43" s="21">
        <v>0</v>
      </c>
      <c r="I43" s="20">
        <v>0</v>
      </c>
      <c r="J43" s="20">
        <v>299.5</v>
      </c>
      <c r="K43" s="20">
        <v>215.64</v>
      </c>
      <c r="L43" s="21">
        <v>59.9</v>
      </c>
      <c r="M43" s="21">
        <v>59.9</v>
      </c>
      <c r="N43" s="21">
        <v>275.54000000000002</v>
      </c>
      <c r="O43" s="18">
        <v>1359.73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9" t="s">
        <v>21</v>
      </c>
      <c r="C44" s="20">
        <v>0</v>
      </c>
      <c r="D44" s="20">
        <v>0</v>
      </c>
      <c r="E44" s="20">
        <v>0</v>
      </c>
      <c r="F44" s="21">
        <f>Kanäle!$D$11+Kanäle!$E$11</f>
        <v>0</v>
      </c>
      <c r="G44" s="21">
        <f>Kanäle!$D$11+Kanäle!$E$11</f>
        <v>0</v>
      </c>
      <c r="H44" s="21">
        <f>Kanäle!$D$11+Kanäle!$E$11</f>
        <v>0</v>
      </c>
      <c r="I44" s="20">
        <f>Kanäle!$D$11+Kanäle!$E$11</f>
        <v>0</v>
      </c>
      <c r="J44" s="20">
        <f>Kanäle!$D$11+Kanäle!$E$11</f>
        <v>0</v>
      </c>
      <c r="K44" s="20">
        <f>Kanäle!$D$11+Kanäle!$E$11</f>
        <v>0</v>
      </c>
      <c r="L44" s="21">
        <f>Kanäle!$D$11+Kanäle!$E$11</f>
        <v>0</v>
      </c>
      <c r="M44" s="21">
        <f>Kanäle!$D$11+Kanäle!$E$11</f>
        <v>0</v>
      </c>
      <c r="N44" s="21">
        <f>Kanäle!$D$11+Kanäle!$E$11</f>
        <v>0</v>
      </c>
      <c r="O44" s="18">
        <f t="shared" si="8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9" t="s">
        <v>22</v>
      </c>
      <c r="C45" s="20">
        <v>0</v>
      </c>
      <c r="D45" s="20">
        <v>0</v>
      </c>
      <c r="E45" s="20">
        <v>0</v>
      </c>
      <c r="F45" s="21">
        <v>0</v>
      </c>
      <c r="G45" s="21">
        <v>0</v>
      </c>
      <c r="H45" s="21">
        <v>0</v>
      </c>
      <c r="I45" s="20">
        <v>1614</v>
      </c>
      <c r="J45" s="20">
        <v>1614</v>
      </c>
      <c r="K45" s="20">
        <v>0</v>
      </c>
      <c r="L45" s="21">
        <v>239.29</v>
      </c>
      <c r="M45" s="21">
        <v>239.29</v>
      </c>
      <c r="N45" s="21">
        <v>239.29</v>
      </c>
      <c r="O45" s="18">
        <v>3945.87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9" t="s">
        <v>23</v>
      </c>
      <c r="C46" s="20">
        <v>11445.72</v>
      </c>
      <c r="D46" s="20">
        <v>12122.23</v>
      </c>
      <c r="E46" s="20">
        <v>12393.47</v>
      </c>
      <c r="F46" s="21">
        <v>16973.72</v>
      </c>
      <c r="G46" s="21">
        <v>15785.08</v>
      </c>
      <c r="H46" s="21">
        <v>39836.71</v>
      </c>
      <c r="I46" s="20">
        <v>14721.29</v>
      </c>
      <c r="J46" s="20">
        <v>14422.03</v>
      </c>
      <c r="K46" s="20">
        <v>19180.36</v>
      </c>
      <c r="L46" s="21">
        <v>18850.91</v>
      </c>
      <c r="M46" s="21">
        <v>18864.11</v>
      </c>
      <c r="N46" s="21">
        <v>17109.52</v>
      </c>
      <c r="O46" s="18">
        <v>211705.15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9" t="s">
        <v>24</v>
      </c>
      <c r="C47" s="20">
        <v>4500</v>
      </c>
      <c r="D47" s="20">
        <v>4500</v>
      </c>
      <c r="E47" s="20">
        <v>4500</v>
      </c>
      <c r="F47" s="21">
        <f>Kanäle!$C$24+Kanäle!$D$24+Kanäle!$E$24</f>
        <v>4500</v>
      </c>
      <c r="G47" s="21">
        <f>Kanäle!$C$24+Kanäle!$D$24+Kanäle!$E$24</f>
        <v>4500</v>
      </c>
      <c r="H47" s="21">
        <f>Kanäle!$C$24+Kanäle!$D$24+Kanäle!$E$24</f>
        <v>4500</v>
      </c>
      <c r="I47" s="20">
        <f>Kanäle!$C$24+Kanäle!$D$24+Kanäle!$E$24</f>
        <v>4500</v>
      </c>
      <c r="J47" s="20">
        <f>Kanäle!$C$24+Kanäle!$D$24+Kanäle!$E$24</f>
        <v>4500</v>
      </c>
      <c r="K47" s="20">
        <f>Kanäle!$C$24+Kanäle!$D$24+Kanäle!$E$24</f>
        <v>4500</v>
      </c>
      <c r="L47" s="21">
        <f>Kanäle!$C$24+Kanäle!$D$24+Kanäle!$E$24</f>
        <v>4500</v>
      </c>
      <c r="M47" s="21">
        <f>Kanäle!$C$24+Kanäle!$D$24+Kanäle!$E$24</f>
        <v>4500</v>
      </c>
      <c r="N47" s="21">
        <f>Kanäle!$C$24+Kanäle!$D$24+Kanäle!$E$24</f>
        <v>4500</v>
      </c>
      <c r="O47" s="18">
        <f t="shared" si="8"/>
        <v>54000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9" t="s">
        <v>25</v>
      </c>
      <c r="C48" s="20">
        <v>1125</v>
      </c>
      <c r="D48" s="20">
        <v>1125</v>
      </c>
      <c r="E48" s="20">
        <v>1125</v>
      </c>
      <c r="F48" s="21">
        <f>Kanäle!$B$29</f>
        <v>1125</v>
      </c>
      <c r="G48" s="21">
        <f>Kanäle!$B$29</f>
        <v>1125</v>
      </c>
      <c r="H48" s="21">
        <f>Kanäle!$B$29</f>
        <v>1125</v>
      </c>
      <c r="I48" s="20">
        <f>Kanäle!$B$29</f>
        <v>1125</v>
      </c>
      <c r="J48" s="20">
        <f>Kanäle!$B$29</f>
        <v>1125</v>
      </c>
      <c r="K48" s="20">
        <f>Kanäle!$B$29</f>
        <v>1125</v>
      </c>
      <c r="L48" s="21">
        <f>Kanäle!$B$29</f>
        <v>1125</v>
      </c>
      <c r="M48" s="21">
        <f>Kanäle!$B$29</f>
        <v>1125</v>
      </c>
      <c r="N48" s="21">
        <f>Kanäle!$B$29</f>
        <v>1125</v>
      </c>
      <c r="O48" s="18">
        <f t="shared" si="8"/>
        <v>13500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9" t="s">
        <v>26</v>
      </c>
      <c r="C49" s="20">
        <v>132.33000000000001</v>
      </c>
      <c r="D49" s="20">
        <v>132.19999999999999</v>
      </c>
      <c r="E49" s="20">
        <v>132.19999999999999</v>
      </c>
      <c r="F49" s="21">
        <v>132.19999999999999</v>
      </c>
      <c r="G49" s="21">
        <v>132.19999999999999</v>
      </c>
      <c r="H49" s="21">
        <v>132.19999999999999</v>
      </c>
      <c r="I49" s="20">
        <v>132.19999999999999</v>
      </c>
      <c r="J49" s="20">
        <v>132.19999999999999</v>
      </c>
      <c r="K49" s="20">
        <v>491.66</v>
      </c>
      <c r="L49" s="21">
        <v>600.41999999999996</v>
      </c>
      <c r="M49" s="21">
        <v>717.14</v>
      </c>
      <c r="N49" s="21">
        <v>482.47</v>
      </c>
      <c r="O49" s="18">
        <v>3349.42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9" t="s">
        <v>27</v>
      </c>
      <c r="C50" s="20">
        <v>51</v>
      </c>
      <c r="D50" s="20">
        <v>51</v>
      </c>
      <c r="E50" s="20">
        <v>51</v>
      </c>
      <c r="F50" s="21">
        <f>Kanäle!$B$38+Kanäle!$C$38+Kanäle!$E$38</f>
        <v>51</v>
      </c>
      <c r="G50" s="21">
        <f>Kanäle!$B$38+Kanäle!$C$38+Kanäle!$E$38</f>
        <v>51</v>
      </c>
      <c r="H50" s="21">
        <f>Kanäle!$B$38+Kanäle!$C$38+Kanäle!$E$38</f>
        <v>51</v>
      </c>
      <c r="I50" s="20">
        <f>Kanäle!$B$38+Kanäle!$C$38+Kanäle!$E$38</f>
        <v>51</v>
      </c>
      <c r="J50" s="20">
        <f>Kanäle!$B$38+Kanäle!$C$38+Kanäle!$E$38</f>
        <v>51</v>
      </c>
      <c r="K50" s="20">
        <f>Kanäle!$B$38+Kanäle!$C$38+Kanäle!$E$38</f>
        <v>51</v>
      </c>
      <c r="L50" s="21">
        <f>Kanäle!$B$38+Kanäle!$C$38+Kanäle!$E$38</f>
        <v>51</v>
      </c>
      <c r="M50" s="21">
        <f>Kanäle!$B$38+Kanäle!$C$38+Kanäle!$E$38</f>
        <v>51</v>
      </c>
      <c r="N50" s="21">
        <f>Kanäle!$B$38+Kanäle!$C$38+Kanäle!$E$38</f>
        <v>51</v>
      </c>
      <c r="O50" s="18">
        <f t="shared" si="8"/>
        <v>612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2" t="s">
        <v>28</v>
      </c>
      <c r="C51" s="20">
        <v>0</v>
      </c>
      <c r="D51" s="20">
        <v>0</v>
      </c>
      <c r="E51" s="20">
        <v>0</v>
      </c>
      <c r="F51" s="21">
        <v>0</v>
      </c>
      <c r="G51" s="21">
        <v>0</v>
      </c>
      <c r="H51" s="21">
        <v>0</v>
      </c>
      <c r="I51" s="20">
        <v>0</v>
      </c>
      <c r="J51" s="20">
        <v>0</v>
      </c>
      <c r="K51" s="20">
        <v>0</v>
      </c>
      <c r="L51" s="21">
        <v>0</v>
      </c>
      <c r="M51" s="21">
        <v>0</v>
      </c>
      <c r="N51" s="21">
        <v>0</v>
      </c>
      <c r="O51" s="18">
        <f t="shared" si="8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3" t="s">
        <v>33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490</v>
      </c>
      <c r="L52" s="14">
        <v>0</v>
      </c>
      <c r="M52" s="14">
        <v>0</v>
      </c>
      <c r="N52" s="14">
        <v>0</v>
      </c>
      <c r="O52" s="18">
        <v>490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9" t="s">
        <v>30</v>
      </c>
      <c r="C53" s="20">
        <f>Kanäle!$B$42+Kanäle!$C$42+Invest!$D$3</f>
        <v>0</v>
      </c>
      <c r="D53" s="20"/>
      <c r="E53" s="20"/>
      <c r="F53" s="21">
        <f>Kanäle!$B$42+Kanäle!$C$42+Invest!$D$3</f>
        <v>0</v>
      </c>
      <c r="G53" s="21"/>
      <c r="H53" s="21"/>
      <c r="I53" s="20">
        <f>Kanäle!$B$42+Kanäle!$C$42+Invest!$D$3</f>
        <v>0</v>
      </c>
      <c r="J53" s="20"/>
      <c r="K53" s="20"/>
      <c r="L53" s="21">
        <f>Kanäle!$B$42+Kanäle!$C$42+Invest!$D$3</f>
        <v>0</v>
      </c>
      <c r="M53" s="21"/>
      <c r="N53" s="21"/>
      <c r="O53" s="18">
        <f t="shared" si="8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3" t="s">
        <v>34</v>
      </c>
      <c r="C54" s="20">
        <f>Invest!$B$9+Invest!$C$9</f>
        <v>0</v>
      </c>
      <c r="D54" s="20">
        <f>Invest!$B$9+Invest!$C$9</f>
        <v>0</v>
      </c>
      <c r="E54" s="20">
        <f>Invest!$B$9+Invest!$C$9</f>
        <v>0</v>
      </c>
      <c r="F54" s="21">
        <f>Invest!$B$9+Invest!$C$9</f>
        <v>0</v>
      </c>
      <c r="G54" s="21">
        <f>Invest!$B$9+Invest!$C$9</f>
        <v>0</v>
      </c>
      <c r="H54" s="21">
        <f>Invest!$B$9+Invest!$C$9</f>
        <v>0</v>
      </c>
      <c r="I54" s="20">
        <f>Invest!$B$9+Invest!$C$9</f>
        <v>0</v>
      </c>
      <c r="J54" s="20">
        <f>Invest!$B$9+Invest!$C$9</f>
        <v>0</v>
      </c>
      <c r="K54" s="20">
        <f>Invest!$B$9+Invest!$C$9</f>
        <v>0</v>
      </c>
      <c r="L54" s="21">
        <f>Invest!$B$9+Invest!$C$9</f>
        <v>0</v>
      </c>
      <c r="M54" s="21">
        <f>Invest!$B$9+Invest!$C$9</f>
        <v>0</v>
      </c>
      <c r="N54" s="21">
        <f>Invest!$B$9+Invest!$C$9</f>
        <v>0</v>
      </c>
      <c r="O54" s="18">
        <f t="shared" si="8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0" t="s">
        <v>32</v>
      </c>
      <c r="C55" s="24">
        <f t="shared" ref="C55:N55" si="9">SUM(C42+C52)</f>
        <v>17403.800000000003</v>
      </c>
      <c r="D55" s="24">
        <f t="shared" si="9"/>
        <v>18080.18</v>
      </c>
      <c r="E55" s="24">
        <f t="shared" si="9"/>
        <v>18351.420000000002</v>
      </c>
      <c r="F55" s="24">
        <f t="shared" si="9"/>
        <v>22781.920000000002</v>
      </c>
      <c r="G55" s="24">
        <f t="shared" si="9"/>
        <v>21593.280000000002</v>
      </c>
      <c r="H55" s="24">
        <f t="shared" si="9"/>
        <v>45644.909999999996</v>
      </c>
      <c r="I55" s="24">
        <f t="shared" si="9"/>
        <v>22143.49</v>
      </c>
      <c r="J55" s="24">
        <f t="shared" si="9"/>
        <v>22143.73</v>
      </c>
      <c r="K55" s="24">
        <f t="shared" si="9"/>
        <v>26053.66</v>
      </c>
      <c r="L55" s="24">
        <f t="shared" si="9"/>
        <v>25426.519999999997</v>
      </c>
      <c r="M55" s="24">
        <f t="shared" si="9"/>
        <v>25556.44</v>
      </c>
      <c r="N55" s="24">
        <f t="shared" si="9"/>
        <v>23782.820000000003</v>
      </c>
      <c r="O55" s="25">
        <f t="shared" si="8"/>
        <v>288962.17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6">
        <v>2025</v>
      </c>
      <c r="C58" s="2" t="s">
        <v>112</v>
      </c>
      <c r="D58" s="2"/>
      <c r="E58" s="2"/>
      <c r="F58" s="2" t="s">
        <v>113</v>
      </c>
      <c r="G58" s="2"/>
      <c r="H58" s="2"/>
      <c r="I58" s="2" t="s">
        <v>114</v>
      </c>
      <c r="J58" s="2"/>
      <c r="K58" s="2"/>
      <c r="L58" s="2" t="s">
        <v>115</v>
      </c>
      <c r="M58" s="2"/>
      <c r="N58" s="2"/>
      <c r="O58" s="1" t="s">
        <v>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6"/>
      <c r="C59" s="2" t="s">
        <v>7</v>
      </c>
      <c r="D59" s="2" t="s">
        <v>8</v>
      </c>
      <c r="E59" s="2" t="s">
        <v>9</v>
      </c>
      <c r="F59" s="2" t="s">
        <v>10</v>
      </c>
      <c r="G59" s="2" t="s">
        <v>11</v>
      </c>
      <c r="H59" s="2" t="s">
        <v>12</v>
      </c>
      <c r="I59" s="2" t="s">
        <v>13</v>
      </c>
      <c r="J59" s="2" t="s">
        <v>14</v>
      </c>
      <c r="K59" s="2" t="s">
        <v>15</v>
      </c>
      <c r="L59" s="2" t="s">
        <v>16</v>
      </c>
      <c r="M59" s="2" t="s">
        <v>17</v>
      </c>
      <c r="N59" s="2" t="s">
        <v>18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6" t="s">
        <v>116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6" t="s">
        <v>20</v>
      </c>
      <c r="C61" s="2">
        <v>59.9</v>
      </c>
      <c r="D61" s="2">
        <v>59.9</v>
      </c>
      <c r="E61" s="2">
        <v>59.9</v>
      </c>
      <c r="F61" s="2">
        <v>491.18</v>
      </c>
      <c r="G61" s="2">
        <v>59.9</v>
      </c>
      <c r="H61" s="2">
        <v>59.9</v>
      </c>
      <c r="I61" s="2">
        <v>59.9</v>
      </c>
      <c r="J61" s="2">
        <v>59.9</v>
      </c>
      <c r="K61" s="2">
        <v>59.9</v>
      </c>
      <c r="L61" s="2">
        <v>59.9</v>
      </c>
      <c r="M61" s="2">
        <v>59.9</v>
      </c>
      <c r="N61" s="2">
        <v>59.9</v>
      </c>
      <c r="O61" s="1">
        <v>1150.08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6" t="s">
        <v>21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6" t="s">
        <v>22</v>
      </c>
      <c r="C63" s="2">
        <v>323.39</v>
      </c>
      <c r="D63" s="2">
        <v>219.35</v>
      </c>
      <c r="E63" s="2">
        <v>219.75</v>
      </c>
      <c r="F63" s="2">
        <v>994.35</v>
      </c>
      <c r="G63" s="2">
        <v>219.35</v>
      </c>
      <c r="H63" s="2">
        <v>219.35</v>
      </c>
      <c r="I63" s="2">
        <v>219.35</v>
      </c>
      <c r="J63" s="2">
        <v>219.35</v>
      </c>
      <c r="K63" s="2">
        <v>219.35</v>
      </c>
      <c r="L63" s="2">
        <v>219.35</v>
      </c>
      <c r="M63" s="2">
        <v>219.35</v>
      </c>
      <c r="N63" s="2">
        <v>219.35</v>
      </c>
      <c r="O63" s="1">
        <v>3511.64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6" t="s">
        <v>23</v>
      </c>
      <c r="C64" s="2">
        <v>19218.919999999998</v>
      </c>
      <c r="D64" s="2">
        <v>19338.48</v>
      </c>
      <c r="E64" s="2">
        <v>21964.69</v>
      </c>
      <c r="F64" s="2">
        <v>16963.73</v>
      </c>
      <c r="G64" s="2">
        <v>15715.39</v>
      </c>
      <c r="H64" s="2">
        <v>17563.23</v>
      </c>
      <c r="I64" s="2">
        <v>20883.849999999999</v>
      </c>
      <c r="J64" s="2">
        <v>21724.27</v>
      </c>
      <c r="K64" s="2">
        <v>22409.99</v>
      </c>
      <c r="L64" s="2">
        <v>35085.68</v>
      </c>
      <c r="M64" s="2">
        <v>25973.919999999998</v>
      </c>
      <c r="N64" s="2">
        <v>15548.3</v>
      </c>
      <c r="O64" s="1">
        <v>252390.45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6" t="s">
        <v>24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6" t="s">
        <v>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6" t="s">
        <v>26</v>
      </c>
      <c r="C67" s="2">
        <v>58.78</v>
      </c>
      <c r="D67" s="2">
        <v>58.76</v>
      </c>
      <c r="E67" s="2">
        <v>58.76</v>
      </c>
      <c r="F67" s="2">
        <v>58.76</v>
      </c>
      <c r="G67" s="2">
        <v>58.76</v>
      </c>
      <c r="H67" s="2">
        <v>1397.3</v>
      </c>
      <c r="I67" s="2">
        <v>58.76</v>
      </c>
      <c r="J67" s="2">
        <v>58.76</v>
      </c>
      <c r="K67" s="2">
        <v>58.76</v>
      </c>
      <c r="L67" s="2">
        <v>166.22</v>
      </c>
      <c r="M67" s="2">
        <v>997.88</v>
      </c>
      <c r="N67" s="2">
        <v>1032.98</v>
      </c>
      <c r="O67" s="1">
        <v>4064.48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6" t="s">
        <v>27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6" t="s">
        <v>28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6" t="s">
        <v>29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6" t="s">
        <v>30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6" t="s">
        <v>34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6" t="s">
        <v>117</v>
      </c>
      <c r="C73" s="2">
        <v>502.66</v>
      </c>
      <c r="D73" s="2">
        <v>241.96</v>
      </c>
      <c r="E73" s="2">
        <v>3083.75</v>
      </c>
      <c r="F73" s="2">
        <v>223.96</v>
      </c>
      <c r="G73" s="2">
        <v>31533.08</v>
      </c>
      <c r="H73" s="2">
        <v>453.22</v>
      </c>
      <c r="I73" s="2">
        <v>1823.84</v>
      </c>
      <c r="J73" s="2">
        <v>8318.84</v>
      </c>
      <c r="K73" s="2">
        <v>3731.9</v>
      </c>
      <c r="L73" s="2">
        <v>19332.54</v>
      </c>
      <c r="M73" s="2">
        <v>4552.92</v>
      </c>
      <c r="N73" s="2">
        <v>1799.92</v>
      </c>
      <c r="O73" s="1">
        <v>75598.59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6" t="s">
        <v>32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>
        <v>336715.24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2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2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2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2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2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2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2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2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2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2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2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2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2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2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2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2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2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2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2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2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2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2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2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2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2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2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2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2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2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2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2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2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2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2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2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2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2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2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2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2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2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2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2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2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2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2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2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2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2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2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2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2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2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2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2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2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2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2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2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2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2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2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2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2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2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2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2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2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2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2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2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2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2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2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2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2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2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2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2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2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2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2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2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2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2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2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2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2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2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2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2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2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2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2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2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2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2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2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2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2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2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2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2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2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2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2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2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2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2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2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2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2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2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2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2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2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2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2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2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2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2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2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2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2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2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2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2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2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2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2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2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2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2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2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2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2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2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2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2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2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2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2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2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2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2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2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2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2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2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2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2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2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2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2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2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2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2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2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2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2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2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2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2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2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2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2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2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2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2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2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2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2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2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2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2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2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2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2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2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2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2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2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2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2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2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2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2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2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2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2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2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2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2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2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2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2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2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2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2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2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2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2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2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2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2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2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2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2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2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2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2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2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2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2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2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2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2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2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2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2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2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2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2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2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2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2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2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2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2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2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2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2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2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2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2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2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2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2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2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2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2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2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2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2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2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2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2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2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2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2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2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2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2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2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2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2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2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2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2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2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2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2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2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2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2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2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2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2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2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2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2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2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2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2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2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2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2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2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2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2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2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2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2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2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2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2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2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2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2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2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2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2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2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2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2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2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2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2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2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2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2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2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2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2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2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2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2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2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2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2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2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2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2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2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2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2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2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2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2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2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2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2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2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2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2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2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2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2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2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2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2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2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2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2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2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2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2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2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2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2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2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2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2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2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2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2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2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2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2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2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2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2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2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2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2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2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2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2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2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2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2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2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2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2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2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2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2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2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2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2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2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2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2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2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2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2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2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2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2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2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2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2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2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2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2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2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2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2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2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2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2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2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2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2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2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2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2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2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2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2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2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2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2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2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2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2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2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2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2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2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2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2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2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2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2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2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2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2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2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2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2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2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2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2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2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2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2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2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2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2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2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2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2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2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2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2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2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2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2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2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2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2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2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2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2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2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2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2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2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2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2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2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2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2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2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2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2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2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2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2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2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2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2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2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2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2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2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2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2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2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2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2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2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2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2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2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2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2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2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2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2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2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2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2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2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2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2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2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2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2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2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2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2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2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2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2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2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2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2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2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2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2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2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2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2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2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2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2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2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2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2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2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2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2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2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2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2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2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2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2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2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2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2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2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2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2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2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2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2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2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2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2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2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2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2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2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2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2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2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2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2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2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2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2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2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2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2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2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2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2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2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2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2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2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2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2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2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2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2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2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2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2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2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2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2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2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2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2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2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2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2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2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2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2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2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2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2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2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2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2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2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2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2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2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2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2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2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2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2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2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2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2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2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2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2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2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2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2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2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2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2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2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2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2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2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2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2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2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2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2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2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2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2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2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2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2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2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2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2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2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2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2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2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2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2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2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2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2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2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2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2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2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2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2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2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2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2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2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2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2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2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2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2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2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2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2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2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2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2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2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2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2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2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2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2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2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2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2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2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2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2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2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2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2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2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2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2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2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2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2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2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2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2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2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2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2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2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2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2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2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2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2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2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2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2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2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2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2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2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2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2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2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2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2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2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2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2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2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2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2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2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2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2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2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2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2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2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2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2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2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2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2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2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2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2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2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2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2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2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2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2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2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2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2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2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2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2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2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2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2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2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2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2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2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2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2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2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2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2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2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2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2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2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2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2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2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2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2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2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2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2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2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2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2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2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2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2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2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2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2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2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2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2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2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2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2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2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2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2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2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2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2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2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2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2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2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2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2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2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2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2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2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2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2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2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2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2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2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2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2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2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2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2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2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2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2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2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2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2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2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2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2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2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2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2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2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2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2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2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2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2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2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2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2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2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2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2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2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2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2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2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2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2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2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2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2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2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2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19">
    <mergeCell ref="B40:B41"/>
    <mergeCell ref="O40:O41"/>
    <mergeCell ref="B22:B23"/>
    <mergeCell ref="C22:E22"/>
    <mergeCell ref="F22:H22"/>
    <mergeCell ref="I22:K22"/>
    <mergeCell ref="L22:N22"/>
    <mergeCell ref="L4:N4"/>
    <mergeCell ref="O4:O5"/>
    <mergeCell ref="C40:E40"/>
    <mergeCell ref="F40:H40"/>
    <mergeCell ref="I40:K40"/>
    <mergeCell ref="L40:N40"/>
    <mergeCell ref="O22:O23"/>
    <mergeCell ref="B1:E2"/>
    <mergeCell ref="B4:B5"/>
    <mergeCell ref="C4:E4"/>
    <mergeCell ref="F4:H4"/>
    <mergeCell ref="I4:K4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66"/>
  </sheetPr>
  <dimension ref="A1:Z991"/>
  <sheetViews>
    <sheetView workbookViewId="0"/>
  </sheetViews>
  <sheetFormatPr baseColWidth="10" defaultColWidth="11.25" defaultRowHeight="15" customHeight="1"/>
  <cols>
    <col min="1" max="1" width="1.3125" customWidth="1"/>
    <col min="2" max="2" width="23.75" customWidth="1"/>
    <col min="3" max="14" width="11.3125" customWidth="1"/>
    <col min="15" max="15" width="17.125" customWidth="1"/>
    <col min="16" max="26" width="9.3125" customWidth="1"/>
  </cols>
  <sheetData>
    <row r="1" spans="1:26" ht="16.5" customHeight="1">
      <c r="A1" s="1"/>
      <c r="B1" s="76" t="s">
        <v>35</v>
      </c>
      <c r="C1" s="77"/>
      <c r="D1" s="77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77"/>
      <c r="C2" s="77"/>
      <c r="D2" s="77"/>
      <c r="E2" s="3"/>
      <c r="F2" s="3"/>
      <c r="G2" s="3"/>
      <c r="H2" s="3"/>
      <c r="I2" s="3"/>
      <c r="J2" s="3"/>
      <c r="K2" s="3"/>
      <c r="L2" s="3"/>
      <c r="M2" s="3"/>
      <c r="N2" s="4"/>
      <c r="O2" s="3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78">
        <v>2022</v>
      </c>
      <c r="C4" s="80" t="s">
        <v>2</v>
      </c>
      <c r="D4" s="81"/>
      <c r="E4" s="81"/>
      <c r="F4" s="82" t="s">
        <v>3</v>
      </c>
      <c r="G4" s="81"/>
      <c r="H4" s="81"/>
      <c r="I4" s="80" t="s">
        <v>4</v>
      </c>
      <c r="J4" s="81"/>
      <c r="K4" s="81"/>
      <c r="L4" s="82" t="s">
        <v>5</v>
      </c>
      <c r="M4" s="81"/>
      <c r="N4" s="81"/>
      <c r="O4" s="83" t="s">
        <v>36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79"/>
      <c r="C5" s="8" t="s">
        <v>7</v>
      </c>
      <c r="D5" s="9" t="s">
        <v>8</v>
      </c>
      <c r="E5" s="9" t="s">
        <v>9</v>
      </c>
      <c r="F5" s="10" t="s">
        <v>10</v>
      </c>
      <c r="G5" s="11" t="s">
        <v>11</v>
      </c>
      <c r="H5" s="11" t="s">
        <v>12</v>
      </c>
      <c r="I5" s="8" t="s">
        <v>13</v>
      </c>
      <c r="J5" s="9" t="s">
        <v>14</v>
      </c>
      <c r="K5" s="9" t="s">
        <v>15</v>
      </c>
      <c r="L5" s="10" t="s">
        <v>16</v>
      </c>
      <c r="M5" s="11" t="s">
        <v>17</v>
      </c>
      <c r="N5" s="11" t="s">
        <v>18</v>
      </c>
      <c r="O5" s="7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2"/>
      <c r="B6" s="13" t="s">
        <v>19</v>
      </c>
      <c r="C6" s="31">
        <f t="shared" ref="C6:N6" si="0">SUM(C7:C15)</f>
        <v>0</v>
      </c>
      <c r="D6" s="31">
        <f t="shared" si="0"/>
        <v>0</v>
      </c>
      <c r="E6" s="31">
        <f t="shared" si="0"/>
        <v>2100</v>
      </c>
      <c r="F6" s="32">
        <f t="shared" si="0"/>
        <v>2901.25</v>
      </c>
      <c r="G6" s="32">
        <f t="shared" si="0"/>
        <v>3640.3125</v>
      </c>
      <c r="H6" s="32">
        <f t="shared" si="0"/>
        <v>4564.140625</v>
      </c>
      <c r="I6" s="31">
        <f t="shared" si="0"/>
        <v>5718.92578125</v>
      </c>
      <c r="J6" s="31">
        <f t="shared" si="0"/>
        <v>7162.4072265625</v>
      </c>
      <c r="K6" s="31">
        <f t="shared" si="0"/>
        <v>8966.759033203125</v>
      </c>
      <c r="L6" s="32">
        <f t="shared" si="0"/>
        <v>11222.198791503906</v>
      </c>
      <c r="M6" s="32">
        <f t="shared" si="0"/>
        <v>14041.498489379883</v>
      </c>
      <c r="N6" s="32">
        <f t="shared" si="0"/>
        <v>17565.623111724854</v>
      </c>
      <c r="O6" s="33">
        <f t="shared" ref="O6:O15" si="1">SUM(C6:N6)</f>
        <v>77883.115558624268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.5" customHeight="1">
      <c r="A7" s="12"/>
      <c r="B7" s="19" t="s">
        <v>37</v>
      </c>
      <c r="C7" s="34">
        <v>0</v>
      </c>
      <c r="D7" s="34">
        <v>0</v>
      </c>
      <c r="E7" s="34">
        <v>1000</v>
      </c>
      <c r="F7" s="35">
        <f t="shared" ref="F7:N7" si="2">E7*1.25</f>
        <v>1250</v>
      </c>
      <c r="G7" s="35">
        <f t="shared" si="2"/>
        <v>1562.5</v>
      </c>
      <c r="H7" s="35">
        <f t="shared" si="2"/>
        <v>1953.125</v>
      </c>
      <c r="I7" s="34">
        <f t="shared" si="2"/>
        <v>2441.40625</v>
      </c>
      <c r="J7" s="34">
        <f t="shared" si="2"/>
        <v>3051.7578125</v>
      </c>
      <c r="K7" s="34">
        <f t="shared" si="2"/>
        <v>3814.697265625</v>
      </c>
      <c r="L7" s="35">
        <f t="shared" si="2"/>
        <v>4768.37158203125</v>
      </c>
      <c r="M7" s="35">
        <f t="shared" si="2"/>
        <v>5960.4644775390625</v>
      </c>
      <c r="N7" s="35">
        <f t="shared" si="2"/>
        <v>7450.5805969238281</v>
      </c>
      <c r="O7" s="33">
        <f t="shared" si="1"/>
        <v>33252.902984619141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5" customHeight="1">
      <c r="A8" s="12"/>
      <c r="B8" s="19"/>
      <c r="C8" s="34">
        <v>0</v>
      </c>
      <c r="D8" s="34">
        <v>0</v>
      </c>
      <c r="E8" s="34">
        <v>0</v>
      </c>
      <c r="F8" s="35">
        <v>0</v>
      </c>
      <c r="G8" s="35">
        <v>0</v>
      </c>
      <c r="H8" s="35">
        <v>0</v>
      </c>
      <c r="I8" s="34">
        <v>0</v>
      </c>
      <c r="J8" s="34">
        <v>0</v>
      </c>
      <c r="K8" s="34">
        <v>0</v>
      </c>
      <c r="L8" s="35">
        <v>0</v>
      </c>
      <c r="M8" s="35">
        <v>0</v>
      </c>
      <c r="N8" s="35">
        <v>0</v>
      </c>
      <c r="O8" s="33">
        <f t="shared" si="1"/>
        <v>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.5" customHeight="1">
      <c r="A9" s="12"/>
      <c r="B9" s="19" t="s">
        <v>22</v>
      </c>
      <c r="C9" s="34">
        <v>0</v>
      </c>
      <c r="D9" s="34">
        <v>0</v>
      </c>
      <c r="E9" s="34">
        <v>1000</v>
      </c>
      <c r="F9" s="35">
        <f t="shared" ref="F9:N9" si="3">E9*1.25</f>
        <v>1250</v>
      </c>
      <c r="G9" s="35">
        <f t="shared" si="3"/>
        <v>1562.5</v>
      </c>
      <c r="H9" s="35">
        <f t="shared" si="3"/>
        <v>1953.125</v>
      </c>
      <c r="I9" s="34">
        <f t="shared" si="3"/>
        <v>2441.40625</v>
      </c>
      <c r="J9" s="34">
        <f t="shared" si="3"/>
        <v>3051.7578125</v>
      </c>
      <c r="K9" s="34">
        <f t="shared" si="3"/>
        <v>3814.697265625</v>
      </c>
      <c r="L9" s="35">
        <f t="shared" si="3"/>
        <v>4768.37158203125</v>
      </c>
      <c r="M9" s="35">
        <f t="shared" si="3"/>
        <v>5960.4644775390625</v>
      </c>
      <c r="N9" s="35">
        <f t="shared" si="3"/>
        <v>7450.5805969238281</v>
      </c>
      <c r="O9" s="33">
        <f t="shared" si="1"/>
        <v>33252.902984619141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.5" customHeight="1">
      <c r="A10" s="12"/>
      <c r="B10" s="19" t="s">
        <v>23</v>
      </c>
      <c r="C10" s="34">
        <v>0</v>
      </c>
      <c r="D10" s="34">
        <v>0</v>
      </c>
      <c r="E10" s="34">
        <v>0</v>
      </c>
      <c r="F10" s="35"/>
      <c r="G10" s="35"/>
      <c r="H10" s="35"/>
      <c r="I10" s="34"/>
      <c r="J10" s="34"/>
      <c r="K10" s="34"/>
      <c r="L10" s="35"/>
      <c r="M10" s="35"/>
      <c r="N10" s="35"/>
      <c r="O10" s="33">
        <f t="shared" si="1"/>
        <v>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.5" customHeight="1">
      <c r="A11" s="12"/>
      <c r="B11" s="19" t="s">
        <v>24</v>
      </c>
      <c r="C11" s="34">
        <v>0</v>
      </c>
      <c r="D11" s="34">
        <v>0</v>
      </c>
      <c r="E11" s="34">
        <v>0</v>
      </c>
      <c r="F11" s="35"/>
      <c r="G11" s="35"/>
      <c r="H11" s="35"/>
      <c r="I11" s="34"/>
      <c r="J11" s="34"/>
      <c r="K11" s="34"/>
      <c r="L11" s="35"/>
      <c r="M11" s="35"/>
      <c r="N11" s="35"/>
      <c r="O11" s="33">
        <f t="shared" si="1"/>
        <v>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.5" customHeight="1">
      <c r="A12" s="12"/>
      <c r="B12" s="19" t="s">
        <v>25</v>
      </c>
      <c r="C12" s="34">
        <v>0</v>
      </c>
      <c r="D12" s="34">
        <v>0</v>
      </c>
      <c r="E12" s="34">
        <v>0</v>
      </c>
      <c r="F12" s="35"/>
      <c r="G12" s="35"/>
      <c r="H12" s="35"/>
      <c r="I12" s="34"/>
      <c r="J12" s="34"/>
      <c r="K12" s="34"/>
      <c r="L12" s="35"/>
      <c r="M12" s="35"/>
      <c r="N12" s="35"/>
      <c r="O12" s="33">
        <f t="shared" si="1"/>
        <v>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.5" customHeight="1">
      <c r="A13" s="12"/>
      <c r="B13" s="19" t="s">
        <v>26</v>
      </c>
      <c r="C13" s="34">
        <v>0</v>
      </c>
      <c r="D13" s="34">
        <v>0</v>
      </c>
      <c r="E13" s="34">
        <v>100</v>
      </c>
      <c r="F13" s="35">
        <f t="shared" ref="F13:N13" si="4">E13*1.25</f>
        <v>125</v>
      </c>
      <c r="G13" s="35">
        <f t="shared" si="4"/>
        <v>156.25</v>
      </c>
      <c r="H13" s="35">
        <f t="shared" si="4"/>
        <v>195.3125</v>
      </c>
      <c r="I13" s="34">
        <f t="shared" si="4"/>
        <v>244.140625</v>
      </c>
      <c r="J13" s="34">
        <f t="shared" si="4"/>
        <v>305.17578125</v>
      </c>
      <c r="K13" s="34">
        <f t="shared" si="4"/>
        <v>381.4697265625</v>
      </c>
      <c r="L13" s="35">
        <f t="shared" si="4"/>
        <v>476.837158203125</v>
      </c>
      <c r="M13" s="35">
        <f t="shared" si="4"/>
        <v>596.04644775390625</v>
      </c>
      <c r="N13" s="35">
        <f t="shared" si="4"/>
        <v>745.05805969238281</v>
      </c>
      <c r="O13" s="33">
        <f t="shared" si="1"/>
        <v>3325.2902984619141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5" customHeight="1">
      <c r="A14" s="12"/>
      <c r="B14" s="19" t="s">
        <v>27</v>
      </c>
      <c r="C14" s="34">
        <v>0</v>
      </c>
      <c r="D14" s="34">
        <v>0</v>
      </c>
      <c r="E14" s="34">
        <v>0</v>
      </c>
      <c r="F14" s="35">
        <f t="shared" ref="F14:N14" si="5">E14+(F9*0.01)</f>
        <v>12.5</v>
      </c>
      <c r="G14" s="35">
        <f t="shared" si="5"/>
        <v>28.125</v>
      </c>
      <c r="H14" s="35">
        <f t="shared" si="5"/>
        <v>47.65625</v>
      </c>
      <c r="I14" s="35">
        <f t="shared" si="5"/>
        <v>72.0703125</v>
      </c>
      <c r="J14" s="35">
        <f t="shared" si="5"/>
        <v>102.587890625</v>
      </c>
      <c r="K14" s="35">
        <f t="shared" si="5"/>
        <v>140.73486328125</v>
      </c>
      <c r="L14" s="35">
        <f t="shared" si="5"/>
        <v>188.4185791015625</v>
      </c>
      <c r="M14" s="35">
        <f t="shared" si="5"/>
        <v>248.02322387695313</v>
      </c>
      <c r="N14" s="35">
        <f t="shared" si="5"/>
        <v>322.52902984619141</v>
      </c>
      <c r="O14" s="33">
        <f t="shared" si="1"/>
        <v>1162.645149230957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6.5" customHeight="1">
      <c r="A15" s="12"/>
      <c r="B15" s="22" t="s">
        <v>28</v>
      </c>
      <c r="C15" s="34">
        <v>0</v>
      </c>
      <c r="D15" s="34">
        <v>0</v>
      </c>
      <c r="E15" s="34">
        <v>0</v>
      </c>
      <c r="F15" s="35">
        <f t="shared" ref="F15:N15" si="6">SUM(F7:F14)*0.1</f>
        <v>263.75</v>
      </c>
      <c r="G15" s="35">
        <f t="shared" si="6"/>
        <v>330.9375</v>
      </c>
      <c r="H15" s="35">
        <f t="shared" si="6"/>
        <v>414.921875</v>
      </c>
      <c r="I15" s="34">
        <f t="shared" si="6"/>
        <v>519.90234375</v>
      </c>
      <c r="J15" s="34">
        <f t="shared" si="6"/>
        <v>651.1279296875</v>
      </c>
      <c r="K15" s="34">
        <f t="shared" si="6"/>
        <v>815.159912109375</v>
      </c>
      <c r="L15" s="35">
        <f t="shared" si="6"/>
        <v>1020.1998901367188</v>
      </c>
      <c r="M15" s="35">
        <f t="shared" si="6"/>
        <v>1276.4998626708984</v>
      </c>
      <c r="N15" s="35">
        <f t="shared" si="6"/>
        <v>1596.874828338623</v>
      </c>
      <c r="O15" s="33">
        <f t="shared" si="1"/>
        <v>6889.3741416931152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6.5" customHeight="1">
      <c r="A16" s="12"/>
      <c r="B16" s="10" t="s">
        <v>32</v>
      </c>
      <c r="C16" s="36">
        <f t="shared" ref="C16:O16" si="7">SUM(C7:C15)</f>
        <v>0</v>
      </c>
      <c r="D16" s="36">
        <f t="shared" si="7"/>
        <v>0</v>
      </c>
      <c r="E16" s="36">
        <f t="shared" si="7"/>
        <v>2100</v>
      </c>
      <c r="F16" s="36">
        <f t="shared" si="7"/>
        <v>2901.25</v>
      </c>
      <c r="G16" s="36">
        <f t="shared" si="7"/>
        <v>3640.3125</v>
      </c>
      <c r="H16" s="36">
        <f t="shared" si="7"/>
        <v>4564.140625</v>
      </c>
      <c r="I16" s="36">
        <f t="shared" si="7"/>
        <v>5718.92578125</v>
      </c>
      <c r="J16" s="36">
        <f t="shared" si="7"/>
        <v>7162.4072265625</v>
      </c>
      <c r="K16" s="36">
        <f t="shared" si="7"/>
        <v>8966.759033203125</v>
      </c>
      <c r="L16" s="36">
        <f t="shared" si="7"/>
        <v>11222.198791503906</v>
      </c>
      <c r="M16" s="36">
        <f t="shared" si="7"/>
        <v>14041.498489379883</v>
      </c>
      <c r="N16" s="36">
        <f t="shared" si="7"/>
        <v>17565.623111724854</v>
      </c>
      <c r="O16" s="37">
        <f t="shared" si="7"/>
        <v>77883.115558624268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5" customHeight="1">
      <c r="A17" s="12"/>
      <c r="B17" s="2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5" customHeight="1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5" customHeight="1">
      <c r="A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5" customHeight="1">
      <c r="A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6.5" customHeight="1">
      <c r="A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6.5" customHeight="1">
      <c r="A22" s="12"/>
      <c r="B22" s="78">
        <v>2023</v>
      </c>
      <c r="C22" s="80" t="s">
        <v>2</v>
      </c>
      <c r="D22" s="81"/>
      <c r="E22" s="81"/>
      <c r="F22" s="84" t="s">
        <v>3</v>
      </c>
      <c r="G22" s="81"/>
      <c r="H22" s="81"/>
      <c r="I22" s="85" t="s">
        <v>4</v>
      </c>
      <c r="J22" s="81"/>
      <c r="K22" s="81"/>
      <c r="L22" s="84" t="s">
        <v>5</v>
      </c>
      <c r="M22" s="81"/>
      <c r="N22" s="81"/>
      <c r="O22" s="86" t="s">
        <v>36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6.5" customHeight="1">
      <c r="A23" s="12"/>
      <c r="B23" s="79"/>
      <c r="C23" s="8" t="s">
        <v>7</v>
      </c>
      <c r="D23" s="9" t="s">
        <v>8</v>
      </c>
      <c r="E23" s="9" t="s">
        <v>9</v>
      </c>
      <c r="F23" s="10" t="s">
        <v>10</v>
      </c>
      <c r="G23" s="11" t="s">
        <v>11</v>
      </c>
      <c r="H23" s="11" t="s">
        <v>12</v>
      </c>
      <c r="I23" s="8" t="s">
        <v>13</v>
      </c>
      <c r="J23" s="9" t="s">
        <v>14</v>
      </c>
      <c r="K23" s="9" t="s">
        <v>15</v>
      </c>
      <c r="L23" s="10" t="s">
        <v>16</v>
      </c>
      <c r="M23" s="11" t="s">
        <v>17</v>
      </c>
      <c r="N23" s="11" t="s">
        <v>18</v>
      </c>
      <c r="O23" s="8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6.5" customHeight="1">
      <c r="A24" s="12"/>
      <c r="B24" s="13" t="s">
        <v>19</v>
      </c>
      <c r="C24" s="31">
        <f t="shared" ref="C24:N24" si="8">SUM(C25:C33)</f>
        <v>31056.707229614258</v>
      </c>
      <c r="D24" s="31">
        <f t="shared" si="8"/>
        <v>32207.94337272644</v>
      </c>
      <c r="E24" s="31">
        <f t="shared" si="8"/>
        <v>37033.346743583679</v>
      </c>
      <c r="F24" s="32">
        <f t="shared" si="8"/>
        <v>38612.83406496048</v>
      </c>
      <c r="G24" s="32">
        <f t="shared" si="8"/>
        <v>40257.313731908798</v>
      </c>
      <c r="H24" s="32">
        <f t="shared" si="8"/>
        <v>45608.784978985786</v>
      </c>
      <c r="I24" s="31">
        <f t="shared" si="8"/>
        <v>47750.446964204319</v>
      </c>
      <c r="J24" s="31">
        <f t="shared" si="8"/>
        <v>49996.818761378534</v>
      </c>
      <c r="K24" s="31">
        <f t="shared" si="8"/>
        <v>55993.871351704016</v>
      </c>
      <c r="L24" s="32">
        <f t="shared" si="8"/>
        <v>58829.172814495876</v>
      </c>
      <c r="M24" s="32">
        <f t="shared" si="8"/>
        <v>61822.048037000764</v>
      </c>
      <c r="N24" s="32">
        <f t="shared" si="8"/>
        <v>68623.754395189986</v>
      </c>
      <c r="O24" s="38">
        <f t="shared" ref="O24:O33" si="9">SUM(C24:N24)</f>
        <v>567793.04244575289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6.5" customHeight="1">
      <c r="A25" s="12"/>
      <c r="B25" s="19" t="s">
        <v>37</v>
      </c>
      <c r="C25" s="34">
        <f>N7*1.1</f>
        <v>8195.6386566162109</v>
      </c>
      <c r="D25" s="34">
        <f t="shared" ref="D25:N25" si="10">C25*1.1</f>
        <v>9015.202522277832</v>
      </c>
      <c r="E25" s="34">
        <f t="shared" si="10"/>
        <v>9916.7227745056152</v>
      </c>
      <c r="F25" s="35">
        <f t="shared" si="10"/>
        <v>10908.395051956177</v>
      </c>
      <c r="G25" s="35">
        <f t="shared" si="10"/>
        <v>11999.234557151796</v>
      </c>
      <c r="H25" s="35">
        <f t="shared" si="10"/>
        <v>13199.158012866978</v>
      </c>
      <c r="I25" s="34">
        <f t="shared" si="10"/>
        <v>14519.073814153677</v>
      </c>
      <c r="J25" s="34">
        <f t="shared" si="10"/>
        <v>15970.981195569046</v>
      </c>
      <c r="K25" s="34">
        <f t="shared" si="10"/>
        <v>17568.079315125953</v>
      </c>
      <c r="L25" s="35">
        <f t="shared" si="10"/>
        <v>19324.887246638551</v>
      </c>
      <c r="M25" s="35">
        <f t="shared" si="10"/>
        <v>21257.375971302408</v>
      </c>
      <c r="N25" s="35">
        <f t="shared" si="10"/>
        <v>23383.113568432651</v>
      </c>
      <c r="O25" s="33">
        <f t="shared" si="9"/>
        <v>175257.8626865969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6.5" customHeight="1">
      <c r="A26" s="12"/>
      <c r="B26" s="19"/>
      <c r="C26" s="34"/>
      <c r="D26" s="34"/>
      <c r="E26" s="34"/>
      <c r="F26" s="35"/>
      <c r="G26" s="35"/>
      <c r="H26" s="35"/>
      <c r="I26" s="34"/>
      <c r="J26" s="34"/>
      <c r="K26" s="34"/>
      <c r="L26" s="35"/>
      <c r="M26" s="35"/>
      <c r="N26" s="35"/>
      <c r="O26" s="33">
        <f t="shared" si="9"/>
        <v>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6.5" customHeight="1">
      <c r="A27" s="12"/>
      <c r="B27" s="19" t="s">
        <v>22</v>
      </c>
      <c r="C27" s="34">
        <f>N9-500</f>
        <v>6950.5805969238281</v>
      </c>
      <c r="D27" s="34">
        <f>C27-500</f>
        <v>6450.5805969238281</v>
      </c>
      <c r="E27" s="34">
        <f>D27-500+3000</f>
        <v>8950.5805969238281</v>
      </c>
      <c r="F27" s="35">
        <f t="shared" ref="F27:G27" si="11">E27-500</f>
        <v>8450.5805969238281</v>
      </c>
      <c r="G27" s="35">
        <f t="shared" si="11"/>
        <v>7950.5805969238281</v>
      </c>
      <c r="H27" s="35">
        <f>G27-500+3000</f>
        <v>10450.580596923828</v>
      </c>
      <c r="I27" s="34">
        <f t="shared" ref="I27:J27" si="12">H27-500</f>
        <v>9950.5805969238281</v>
      </c>
      <c r="J27" s="34">
        <f t="shared" si="12"/>
        <v>9450.5805969238281</v>
      </c>
      <c r="K27" s="34">
        <f>J27-500+3000</f>
        <v>11950.580596923828</v>
      </c>
      <c r="L27" s="35">
        <f t="shared" ref="L27:M27" si="13">K27-500</f>
        <v>11450.580596923828</v>
      </c>
      <c r="M27" s="35">
        <f t="shared" si="13"/>
        <v>10950.580596923828</v>
      </c>
      <c r="N27" s="35">
        <f>M27-500+3000</f>
        <v>13450.580596923828</v>
      </c>
      <c r="O27" s="33">
        <f t="shared" si="9"/>
        <v>116406.96716308594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6.5" customHeight="1">
      <c r="A28" s="12"/>
      <c r="B28" s="19" t="s">
        <v>23</v>
      </c>
      <c r="C28" s="34">
        <f>Kanäle!$E$20+Kanäle!$F$20</f>
        <v>4500</v>
      </c>
      <c r="D28" s="34">
        <f>Kanäle!$E$20+Kanäle!$F$20</f>
        <v>4500</v>
      </c>
      <c r="E28" s="34">
        <f>Kanäle!$E$20+Kanäle!$F$20</f>
        <v>4500</v>
      </c>
      <c r="F28" s="35">
        <f>Kanäle!$E$20+Kanäle!$F$20</f>
        <v>4500</v>
      </c>
      <c r="G28" s="35">
        <f>Kanäle!$E$20+Kanäle!$F$20</f>
        <v>4500</v>
      </c>
      <c r="H28" s="35">
        <f>Kanäle!$E$20+Kanäle!$F$20</f>
        <v>4500</v>
      </c>
      <c r="I28" s="34">
        <f>Kanäle!$E$20+Kanäle!$F$20</f>
        <v>4500</v>
      </c>
      <c r="J28" s="34">
        <f>Kanäle!$E$20+Kanäle!$F$20</f>
        <v>4500</v>
      </c>
      <c r="K28" s="34">
        <f>Kanäle!$E$20+Kanäle!$F$20</f>
        <v>4500</v>
      </c>
      <c r="L28" s="35">
        <f>Kanäle!$E$20+Kanäle!$F$20</f>
        <v>4500</v>
      </c>
      <c r="M28" s="35">
        <f>Kanäle!$E$20+Kanäle!$F$20</f>
        <v>4500</v>
      </c>
      <c r="N28" s="35">
        <f>Kanäle!$E$20+Kanäle!$F$20</f>
        <v>4500</v>
      </c>
      <c r="O28" s="33">
        <f t="shared" si="9"/>
        <v>54000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6.5" customHeight="1">
      <c r="A29" s="1"/>
      <c r="B29" s="19" t="s">
        <v>24</v>
      </c>
      <c r="C29" s="34">
        <f>Kanäle!$C$25+Kanäle!$D$25</f>
        <v>4500</v>
      </c>
      <c r="D29" s="34">
        <f>Kanäle!$C$25+Kanäle!$D$25</f>
        <v>4500</v>
      </c>
      <c r="E29" s="34">
        <f>Kanäle!$C$25+Kanäle!$D$25</f>
        <v>4500</v>
      </c>
      <c r="F29" s="35">
        <f>Kanäle!$C$25+Kanäle!$D$25</f>
        <v>4500</v>
      </c>
      <c r="G29" s="35">
        <f>Kanäle!$C$25+Kanäle!$D$25</f>
        <v>4500</v>
      </c>
      <c r="H29" s="35">
        <f>Kanäle!$C$25+Kanäle!$D$25</f>
        <v>4500</v>
      </c>
      <c r="I29" s="34">
        <f>Kanäle!$C$25+Kanäle!$D$25</f>
        <v>4500</v>
      </c>
      <c r="J29" s="34">
        <f>Kanäle!$C$25+Kanäle!$D$25</f>
        <v>4500</v>
      </c>
      <c r="K29" s="34">
        <f>Kanäle!$C$25+Kanäle!$D$25</f>
        <v>4500</v>
      </c>
      <c r="L29" s="35">
        <f>Kanäle!$C$25+Kanäle!$D$25</f>
        <v>4500</v>
      </c>
      <c r="M29" s="35">
        <f>Kanäle!$C$25+Kanäle!$D$25</f>
        <v>4500</v>
      </c>
      <c r="N29" s="35">
        <f>Kanäle!$C$25+Kanäle!$D$25</f>
        <v>4500</v>
      </c>
      <c r="O29" s="33">
        <f t="shared" si="9"/>
        <v>54000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9" t="s">
        <v>25</v>
      </c>
      <c r="C30" s="34">
        <f>Kanäle!$B$30</f>
        <v>2250</v>
      </c>
      <c r="D30" s="34">
        <f>Kanäle!$B$30</f>
        <v>2250</v>
      </c>
      <c r="E30" s="34">
        <f>Kanäle!$B$30</f>
        <v>2250</v>
      </c>
      <c r="F30" s="35">
        <f>Kanäle!$B$30</f>
        <v>2250</v>
      </c>
      <c r="G30" s="35">
        <f>Kanäle!$B$30</f>
        <v>2250</v>
      </c>
      <c r="H30" s="35">
        <f>Kanäle!$B$30</f>
        <v>2250</v>
      </c>
      <c r="I30" s="34">
        <f>Kanäle!$B$30</f>
        <v>2250</v>
      </c>
      <c r="J30" s="34">
        <f>Kanäle!$B$30</f>
        <v>2250</v>
      </c>
      <c r="K30" s="34">
        <f>Kanäle!$B$30</f>
        <v>2250</v>
      </c>
      <c r="L30" s="35">
        <f>Kanäle!$B$30</f>
        <v>2250</v>
      </c>
      <c r="M30" s="35">
        <f>Kanäle!$B$30</f>
        <v>2250</v>
      </c>
      <c r="N30" s="35">
        <f>Kanäle!$B$30</f>
        <v>2250</v>
      </c>
      <c r="O30" s="33">
        <f t="shared" si="9"/>
        <v>27000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9" t="s">
        <v>26</v>
      </c>
      <c r="C31" s="34">
        <f>N13*1.1</f>
        <v>819.56386566162121</v>
      </c>
      <c r="D31" s="34">
        <f t="shared" ref="D31:N31" si="14">C31*1.1</f>
        <v>901.52025222778343</v>
      </c>
      <c r="E31" s="34">
        <f t="shared" si="14"/>
        <v>991.67227745056186</v>
      </c>
      <c r="F31" s="34">
        <f t="shared" si="14"/>
        <v>1090.8395051956181</v>
      </c>
      <c r="G31" s="34">
        <f t="shared" si="14"/>
        <v>1199.9234557151801</v>
      </c>
      <c r="H31" s="34">
        <f t="shared" si="14"/>
        <v>1319.9158012866983</v>
      </c>
      <c r="I31" s="34">
        <f t="shared" si="14"/>
        <v>1451.9073814153683</v>
      </c>
      <c r="J31" s="34">
        <f t="shared" si="14"/>
        <v>1597.0981195569052</v>
      </c>
      <c r="K31" s="34">
        <f t="shared" si="14"/>
        <v>1756.8079315125958</v>
      </c>
      <c r="L31" s="34">
        <f t="shared" si="14"/>
        <v>1932.4887246638555</v>
      </c>
      <c r="M31" s="34">
        <f t="shared" si="14"/>
        <v>2125.7375971302413</v>
      </c>
      <c r="N31" s="34">
        <f t="shared" si="14"/>
        <v>2338.3113568432655</v>
      </c>
      <c r="O31" s="33">
        <f t="shared" si="9"/>
        <v>17525.786268659693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9" t="s">
        <v>27</v>
      </c>
      <c r="C32" s="34">
        <f>N14+(C27*0.1)</f>
        <v>1017.5870895385742</v>
      </c>
      <c r="D32" s="34">
        <f t="shared" ref="D32:N32" si="15">C32+(D27*0.1)</f>
        <v>1662.645149230957</v>
      </c>
      <c r="E32" s="34">
        <f t="shared" si="15"/>
        <v>2557.7032089233398</v>
      </c>
      <c r="F32" s="35">
        <f t="shared" si="15"/>
        <v>3402.7612686157227</v>
      </c>
      <c r="G32" s="35">
        <f t="shared" si="15"/>
        <v>4197.8193283081055</v>
      </c>
      <c r="H32" s="35">
        <f t="shared" si="15"/>
        <v>5242.8773880004883</v>
      </c>
      <c r="I32" s="34">
        <f t="shared" si="15"/>
        <v>6237.9354476928711</v>
      </c>
      <c r="J32" s="34">
        <f t="shared" si="15"/>
        <v>7182.9935073852539</v>
      </c>
      <c r="K32" s="34">
        <f t="shared" si="15"/>
        <v>8378.0515670776367</v>
      </c>
      <c r="L32" s="35">
        <f t="shared" si="15"/>
        <v>9523.1096267700195</v>
      </c>
      <c r="M32" s="35">
        <f t="shared" si="15"/>
        <v>10618.167686462402</v>
      </c>
      <c r="N32" s="35">
        <f t="shared" si="15"/>
        <v>11963.225746154785</v>
      </c>
      <c r="O32" s="33">
        <f t="shared" si="9"/>
        <v>71984.877014160156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2" t="s">
        <v>28</v>
      </c>
      <c r="C33" s="34">
        <f t="shared" ref="C33:N33" si="16">SUM(C25:C32)*0.1</f>
        <v>2823.3370208740234</v>
      </c>
      <c r="D33" s="34">
        <f t="shared" si="16"/>
        <v>2927.99485206604</v>
      </c>
      <c r="E33" s="34">
        <f t="shared" si="16"/>
        <v>3366.6678857803345</v>
      </c>
      <c r="F33" s="35">
        <f t="shared" si="16"/>
        <v>3510.2576422691345</v>
      </c>
      <c r="G33" s="35">
        <f t="shared" si="16"/>
        <v>3659.7557938098907</v>
      </c>
      <c r="H33" s="35">
        <f t="shared" si="16"/>
        <v>4146.2531799077988</v>
      </c>
      <c r="I33" s="34">
        <f t="shared" si="16"/>
        <v>4340.9497240185747</v>
      </c>
      <c r="J33" s="34">
        <f t="shared" si="16"/>
        <v>4545.1653419435033</v>
      </c>
      <c r="K33" s="34">
        <f t="shared" si="16"/>
        <v>5090.3519410640019</v>
      </c>
      <c r="L33" s="35">
        <f t="shared" si="16"/>
        <v>5348.1066194996256</v>
      </c>
      <c r="M33" s="35">
        <f t="shared" si="16"/>
        <v>5620.1861851818876</v>
      </c>
      <c r="N33" s="35">
        <f t="shared" si="16"/>
        <v>6238.5231268354537</v>
      </c>
      <c r="O33" s="33">
        <f t="shared" si="9"/>
        <v>51617.549313250267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0" t="s">
        <v>32</v>
      </c>
      <c r="C34" s="36">
        <f t="shared" ref="C34:O34" si="17">SUM(C25:C33)</f>
        <v>31056.707229614258</v>
      </c>
      <c r="D34" s="36">
        <f t="shared" si="17"/>
        <v>32207.94337272644</v>
      </c>
      <c r="E34" s="36">
        <f t="shared" si="17"/>
        <v>37033.346743583679</v>
      </c>
      <c r="F34" s="36">
        <f t="shared" si="17"/>
        <v>38612.83406496048</v>
      </c>
      <c r="G34" s="36">
        <f t="shared" si="17"/>
        <v>40257.313731908798</v>
      </c>
      <c r="H34" s="36">
        <f t="shared" si="17"/>
        <v>45608.784978985786</v>
      </c>
      <c r="I34" s="36">
        <f t="shared" si="17"/>
        <v>47750.446964204319</v>
      </c>
      <c r="J34" s="36">
        <f t="shared" si="17"/>
        <v>49996.818761378534</v>
      </c>
      <c r="K34" s="36">
        <f t="shared" si="17"/>
        <v>55993.871351704016</v>
      </c>
      <c r="L34" s="36">
        <f t="shared" si="17"/>
        <v>58829.172814495876</v>
      </c>
      <c r="M34" s="36">
        <f t="shared" si="17"/>
        <v>61822.048037000764</v>
      </c>
      <c r="N34" s="36">
        <f t="shared" si="17"/>
        <v>68623.754395189986</v>
      </c>
      <c r="O34" s="37">
        <f t="shared" si="17"/>
        <v>567793.042445753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2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78">
        <v>2024</v>
      </c>
      <c r="C40" s="80" t="s">
        <v>2</v>
      </c>
      <c r="D40" s="81"/>
      <c r="E40" s="81"/>
      <c r="F40" s="84" t="s">
        <v>3</v>
      </c>
      <c r="G40" s="81"/>
      <c r="H40" s="81"/>
      <c r="I40" s="85" t="s">
        <v>4</v>
      </c>
      <c r="J40" s="81"/>
      <c r="K40" s="81"/>
      <c r="L40" s="84" t="s">
        <v>5</v>
      </c>
      <c r="M40" s="81"/>
      <c r="N40" s="81"/>
      <c r="O40" s="86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79"/>
      <c r="C41" s="8" t="s">
        <v>7</v>
      </c>
      <c r="D41" s="9" t="s">
        <v>8</v>
      </c>
      <c r="E41" s="9" t="s">
        <v>9</v>
      </c>
      <c r="F41" s="10" t="s">
        <v>10</v>
      </c>
      <c r="G41" s="11" t="s">
        <v>11</v>
      </c>
      <c r="H41" s="11" t="s">
        <v>12</v>
      </c>
      <c r="I41" s="8" t="s">
        <v>13</v>
      </c>
      <c r="J41" s="9" t="s">
        <v>14</v>
      </c>
      <c r="K41" s="9" t="s">
        <v>15</v>
      </c>
      <c r="L41" s="10" t="s">
        <v>16</v>
      </c>
      <c r="M41" s="11" t="s">
        <v>17</v>
      </c>
      <c r="N41" s="11" t="s">
        <v>18</v>
      </c>
      <c r="O41" s="8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3" t="s">
        <v>19</v>
      </c>
      <c r="C42" s="31">
        <f t="shared" ref="C42:N42" si="18">SUM(C43:C51)</f>
        <v>72798.318260851607</v>
      </c>
      <c r="D42" s="31">
        <f t="shared" si="18"/>
        <v>76447.238868293585</v>
      </c>
      <c r="E42" s="31">
        <f t="shared" si="18"/>
        <v>83954.095149913599</v>
      </c>
      <c r="F42" s="32">
        <f t="shared" si="18"/>
        <v>88417.180673129449</v>
      </c>
      <c r="G42" s="32">
        <f t="shared" si="18"/>
        <v>93167.618362100722</v>
      </c>
      <c r="H42" s="32">
        <f t="shared" si="18"/>
        <v>101869.64343340295</v>
      </c>
      <c r="I42" s="31">
        <f t="shared" si="18"/>
        <v>107630.91462526926</v>
      </c>
      <c r="J42" s="31">
        <f t="shared" si="18"/>
        <v>113792.856549756</v>
      </c>
      <c r="K42" s="31">
        <f t="shared" si="18"/>
        <v>124031.03628012529</v>
      </c>
      <c r="L42" s="32">
        <f t="shared" si="18"/>
        <v>131465.57759696533</v>
      </c>
      <c r="M42" s="32">
        <f t="shared" si="18"/>
        <v>139451.61665892325</v>
      </c>
      <c r="N42" s="32">
        <f t="shared" si="18"/>
        <v>151679.80324051075</v>
      </c>
      <c r="O42" s="38">
        <f t="shared" ref="O42:O51" si="19">SUM(C42:N42)</f>
        <v>1284705.8996992419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9" t="s">
        <v>37</v>
      </c>
      <c r="C43" s="34">
        <f>N25*1.1</f>
        <v>25721.424925275918</v>
      </c>
      <c r="D43" s="34">
        <f t="shared" ref="D43:N43" si="20">C43*1.1</f>
        <v>28293.567417803511</v>
      </c>
      <c r="E43" s="34">
        <f t="shared" si="20"/>
        <v>31122.924159583865</v>
      </c>
      <c r="F43" s="35">
        <f t="shared" si="20"/>
        <v>34235.216575542254</v>
      </c>
      <c r="G43" s="35">
        <f t="shared" si="20"/>
        <v>37658.738233096483</v>
      </c>
      <c r="H43" s="35">
        <f t="shared" si="20"/>
        <v>41424.612056406135</v>
      </c>
      <c r="I43" s="34">
        <f t="shared" si="20"/>
        <v>45567.073262046753</v>
      </c>
      <c r="J43" s="34">
        <f t="shared" si="20"/>
        <v>50123.780588251429</v>
      </c>
      <c r="K43" s="34">
        <f t="shared" si="20"/>
        <v>55136.158647076576</v>
      </c>
      <c r="L43" s="35">
        <f t="shared" si="20"/>
        <v>60649.774511784235</v>
      </c>
      <c r="M43" s="35">
        <f t="shared" si="20"/>
        <v>66714.751962962662</v>
      </c>
      <c r="N43" s="35">
        <f t="shared" si="20"/>
        <v>73386.227159258939</v>
      </c>
      <c r="O43" s="33">
        <f t="shared" si="19"/>
        <v>550034.24949908885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9"/>
      <c r="C44" s="34"/>
      <c r="D44" s="34"/>
      <c r="E44" s="34"/>
      <c r="F44" s="35"/>
      <c r="G44" s="35"/>
      <c r="H44" s="35"/>
      <c r="I44" s="34"/>
      <c r="J44" s="34"/>
      <c r="K44" s="34"/>
      <c r="L44" s="35"/>
      <c r="M44" s="35"/>
      <c r="N44" s="35"/>
      <c r="O44" s="33">
        <f t="shared" si="19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9" t="s">
        <v>22</v>
      </c>
      <c r="C45" s="34">
        <f>N27-500</f>
        <v>12950.580596923828</v>
      </c>
      <c r="D45" s="34">
        <f>C45-500</f>
        <v>12450.580596923828</v>
      </c>
      <c r="E45" s="34">
        <f>D45-500+3000</f>
        <v>14950.580596923828</v>
      </c>
      <c r="F45" s="35">
        <f t="shared" ref="F45:G45" si="21">E45-500</f>
        <v>14450.580596923828</v>
      </c>
      <c r="G45" s="35">
        <f t="shared" si="21"/>
        <v>13950.580596923828</v>
      </c>
      <c r="H45" s="35">
        <f>G45-500+3000</f>
        <v>16450.580596923828</v>
      </c>
      <c r="I45" s="34">
        <f t="shared" ref="I45:J45" si="22">H45-500</f>
        <v>15950.580596923828</v>
      </c>
      <c r="J45" s="34">
        <f t="shared" si="22"/>
        <v>15450.580596923828</v>
      </c>
      <c r="K45" s="34">
        <f>J45-500+3000</f>
        <v>17950.580596923828</v>
      </c>
      <c r="L45" s="35">
        <f t="shared" ref="L45:M45" si="23">K45-500</f>
        <v>17450.580596923828</v>
      </c>
      <c r="M45" s="35">
        <f t="shared" si="23"/>
        <v>16950.580596923828</v>
      </c>
      <c r="N45" s="35">
        <f>M45-500+3000</f>
        <v>19450.580596923828</v>
      </c>
      <c r="O45" s="33">
        <f t="shared" si="19"/>
        <v>188406.96716308594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9" t="s">
        <v>23</v>
      </c>
      <c r="C46" s="34">
        <f>Kanäle!$E$20+Kanäle!$F$20</f>
        <v>4500</v>
      </c>
      <c r="D46" s="34">
        <f>Kanäle!$E$20+Kanäle!$F$20</f>
        <v>4500</v>
      </c>
      <c r="E46" s="34">
        <f>Kanäle!$E$20+Kanäle!$F$20</f>
        <v>4500</v>
      </c>
      <c r="F46" s="35">
        <f>Kanäle!$E$20+Kanäle!$F$20</f>
        <v>4500</v>
      </c>
      <c r="G46" s="35">
        <f>Kanäle!$E$20+Kanäle!$F$20</f>
        <v>4500</v>
      </c>
      <c r="H46" s="35">
        <f>Kanäle!$E$20+Kanäle!$F$20</f>
        <v>4500</v>
      </c>
      <c r="I46" s="34">
        <f>Kanäle!$E$20+Kanäle!$F$20</f>
        <v>4500</v>
      </c>
      <c r="J46" s="34">
        <f>Kanäle!$E$20+Kanäle!$F$20</f>
        <v>4500</v>
      </c>
      <c r="K46" s="34">
        <f>Kanäle!$E$20+Kanäle!$F$20</f>
        <v>4500</v>
      </c>
      <c r="L46" s="35">
        <f>Kanäle!$E$20+Kanäle!$F$20</f>
        <v>4500</v>
      </c>
      <c r="M46" s="35">
        <f>Kanäle!$E$20+Kanäle!$F$20</f>
        <v>4500</v>
      </c>
      <c r="N46" s="35">
        <f>Kanäle!$E$20+Kanäle!$F$20</f>
        <v>4500</v>
      </c>
      <c r="O46" s="33">
        <f t="shared" si="19"/>
        <v>54000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9" t="s">
        <v>24</v>
      </c>
      <c r="C47" s="34">
        <f>Kanäle!$C$25+Kanäle!$D$25</f>
        <v>4500</v>
      </c>
      <c r="D47" s="34">
        <f>Kanäle!$C$25+Kanäle!$D$25</f>
        <v>4500</v>
      </c>
      <c r="E47" s="34">
        <f>Kanäle!$C$25+Kanäle!$D$25</f>
        <v>4500</v>
      </c>
      <c r="F47" s="35">
        <f>Kanäle!$C$25+Kanäle!$D$25</f>
        <v>4500</v>
      </c>
      <c r="G47" s="35">
        <f>Kanäle!$C$25+Kanäle!$D$25</f>
        <v>4500</v>
      </c>
      <c r="H47" s="35">
        <f>Kanäle!$C$25+Kanäle!$D$25</f>
        <v>4500</v>
      </c>
      <c r="I47" s="34">
        <f>Kanäle!$C$25+Kanäle!$D$25</f>
        <v>4500</v>
      </c>
      <c r="J47" s="34">
        <f>Kanäle!$C$25+Kanäle!$D$25</f>
        <v>4500</v>
      </c>
      <c r="K47" s="34">
        <f>Kanäle!$C$25+Kanäle!$D$25</f>
        <v>4500</v>
      </c>
      <c r="L47" s="35">
        <f>Kanäle!$C$25+Kanäle!$D$25</f>
        <v>4500</v>
      </c>
      <c r="M47" s="35">
        <f>Kanäle!$C$25+Kanäle!$D$25</f>
        <v>4500</v>
      </c>
      <c r="N47" s="35">
        <f>Kanäle!$C$25+Kanäle!$D$25</f>
        <v>4500</v>
      </c>
      <c r="O47" s="33">
        <f t="shared" si="19"/>
        <v>54000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9" t="s">
        <v>25</v>
      </c>
      <c r="C48" s="34">
        <f>Kanäle!$B$30</f>
        <v>2250</v>
      </c>
      <c r="D48" s="34">
        <f>Kanäle!$B$30</f>
        <v>2250</v>
      </c>
      <c r="E48" s="34">
        <f>Kanäle!$B$30</f>
        <v>2250</v>
      </c>
      <c r="F48" s="35">
        <f>Kanäle!$B$30</f>
        <v>2250</v>
      </c>
      <c r="G48" s="35">
        <f>Kanäle!$B$30</f>
        <v>2250</v>
      </c>
      <c r="H48" s="35">
        <f>Kanäle!$B$30</f>
        <v>2250</v>
      </c>
      <c r="I48" s="34">
        <f>Kanäle!$B$30</f>
        <v>2250</v>
      </c>
      <c r="J48" s="34">
        <f>Kanäle!$B$30</f>
        <v>2250</v>
      </c>
      <c r="K48" s="34">
        <f>Kanäle!$B$30</f>
        <v>2250</v>
      </c>
      <c r="L48" s="35">
        <f>Kanäle!$B$30</f>
        <v>2250</v>
      </c>
      <c r="M48" s="35">
        <f>Kanäle!$B$30</f>
        <v>2250</v>
      </c>
      <c r="N48" s="35">
        <f>Kanäle!$B$30</f>
        <v>2250</v>
      </c>
      <c r="O48" s="33">
        <f t="shared" si="19"/>
        <v>27000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9" t="s">
        <v>26</v>
      </c>
      <c r="C49" s="34">
        <v>3000</v>
      </c>
      <c r="D49" s="34">
        <v>3000</v>
      </c>
      <c r="E49" s="34">
        <v>3000</v>
      </c>
      <c r="F49" s="35">
        <v>3000</v>
      </c>
      <c r="G49" s="35">
        <v>3000</v>
      </c>
      <c r="H49" s="35">
        <v>3000</v>
      </c>
      <c r="I49" s="34">
        <v>3000</v>
      </c>
      <c r="J49" s="34">
        <v>3000</v>
      </c>
      <c r="K49" s="34">
        <v>3000</v>
      </c>
      <c r="L49" s="35">
        <v>3000</v>
      </c>
      <c r="M49" s="35">
        <v>3000</v>
      </c>
      <c r="N49" s="35">
        <v>3000</v>
      </c>
      <c r="O49" s="33">
        <f t="shared" si="19"/>
        <v>36000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9" t="s">
        <v>27</v>
      </c>
      <c r="C50" s="34">
        <f>N32+(C45*0.1)</f>
        <v>13258.283805847168</v>
      </c>
      <c r="D50" s="34">
        <f t="shared" ref="D50:N50" si="24">C50+(D45*0.1)</f>
        <v>14503.341865539551</v>
      </c>
      <c r="E50" s="34">
        <f t="shared" si="24"/>
        <v>15998.399925231934</v>
      </c>
      <c r="F50" s="35">
        <f t="shared" si="24"/>
        <v>17443.457984924316</v>
      </c>
      <c r="G50" s="35">
        <f t="shared" si="24"/>
        <v>18838.516044616699</v>
      </c>
      <c r="H50" s="35">
        <f t="shared" si="24"/>
        <v>20483.574104309082</v>
      </c>
      <c r="I50" s="34">
        <f t="shared" si="24"/>
        <v>22078.632164001465</v>
      </c>
      <c r="J50" s="34">
        <f t="shared" si="24"/>
        <v>23623.690223693848</v>
      </c>
      <c r="K50" s="34">
        <f t="shared" si="24"/>
        <v>25418.74828338623</v>
      </c>
      <c r="L50" s="35">
        <f t="shared" si="24"/>
        <v>27163.806343078613</v>
      </c>
      <c r="M50" s="35">
        <f t="shared" si="24"/>
        <v>28858.864402770996</v>
      </c>
      <c r="N50" s="35">
        <f t="shared" si="24"/>
        <v>30803.922462463379</v>
      </c>
      <c r="O50" s="33">
        <f t="shared" si="19"/>
        <v>258473.23760986328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2" t="s">
        <v>28</v>
      </c>
      <c r="C51" s="34">
        <f t="shared" ref="C51:N51" si="25">SUM(C43:C50)*0.1</f>
        <v>6618.028932804692</v>
      </c>
      <c r="D51" s="34">
        <f t="shared" si="25"/>
        <v>6949.7489880266894</v>
      </c>
      <c r="E51" s="34">
        <f t="shared" si="25"/>
        <v>7632.1904681739634</v>
      </c>
      <c r="F51" s="35">
        <f t="shared" si="25"/>
        <v>8037.9255157390407</v>
      </c>
      <c r="G51" s="35">
        <f t="shared" si="25"/>
        <v>8469.7834874637028</v>
      </c>
      <c r="H51" s="35">
        <f t="shared" si="25"/>
        <v>9260.8766757639041</v>
      </c>
      <c r="I51" s="34">
        <f t="shared" si="25"/>
        <v>9784.6286022972054</v>
      </c>
      <c r="J51" s="34">
        <f t="shared" si="25"/>
        <v>10344.805140886911</v>
      </c>
      <c r="K51" s="34">
        <f t="shared" si="25"/>
        <v>11275.548752738665</v>
      </c>
      <c r="L51" s="35">
        <f t="shared" si="25"/>
        <v>11951.416145178668</v>
      </c>
      <c r="M51" s="35">
        <f t="shared" si="25"/>
        <v>12677.41969626575</v>
      </c>
      <c r="N51" s="35">
        <f t="shared" si="25"/>
        <v>13789.073021864615</v>
      </c>
      <c r="O51" s="33">
        <f t="shared" si="19"/>
        <v>116791.4454272038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0" t="s">
        <v>32</v>
      </c>
      <c r="C52" s="36">
        <f t="shared" ref="C52:O52" si="26">SUM(C43:C51)</f>
        <v>72798.318260851607</v>
      </c>
      <c r="D52" s="36">
        <f t="shared" si="26"/>
        <v>76447.238868293585</v>
      </c>
      <c r="E52" s="36">
        <f t="shared" si="26"/>
        <v>83954.095149913599</v>
      </c>
      <c r="F52" s="36">
        <f t="shared" si="26"/>
        <v>88417.180673129449</v>
      </c>
      <c r="G52" s="36">
        <f t="shared" si="26"/>
        <v>93167.618362100722</v>
      </c>
      <c r="H52" s="36">
        <f t="shared" si="26"/>
        <v>101869.64343340295</v>
      </c>
      <c r="I52" s="36">
        <f t="shared" si="26"/>
        <v>107630.91462526926</v>
      </c>
      <c r="J52" s="36">
        <f t="shared" si="26"/>
        <v>113792.856549756</v>
      </c>
      <c r="K52" s="36">
        <f t="shared" si="26"/>
        <v>124031.03628012529</v>
      </c>
      <c r="L52" s="36">
        <f t="shared" si="26"/>
        <v>131465.57759696533</v>
      </c>
      <c r="M52" s="36">
        <f t="shared" si="26"/>
        <v>139451.61665892325</v>
      </c>
      <c r="N52" s="36">
        <f t="shared" si="26"/>
        <v>151679.80324051075</v>
      </c>
      <c r="O52" s="37">
        <f t="shared" si="26"/>
        <v>1284705.8996992419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2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2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2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2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2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2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2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2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2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2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2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2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2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2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2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2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2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2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2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2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2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2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2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2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2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2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2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2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2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2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2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2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2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2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2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2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2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2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2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2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2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2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2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2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2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2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2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2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2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2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2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2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2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2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2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2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2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2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2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2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2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2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2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2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2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2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2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2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2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2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2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2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2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2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2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2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2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2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2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2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2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2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2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2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2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2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2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2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2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2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2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2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2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2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2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2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2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2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2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2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2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2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2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2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2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2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2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2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2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2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2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2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2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2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2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2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2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2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2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2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2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2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2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2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2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2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2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2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2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2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2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2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2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2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2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2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2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2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2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2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2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2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2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2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2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2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2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2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2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2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2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2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2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2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2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2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2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2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2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2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2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2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2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2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2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2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2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2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2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2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2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2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2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2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2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2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2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2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2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2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2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2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2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2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2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2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2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2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2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2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2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2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2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2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2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2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2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2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2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2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2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2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2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2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2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2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2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2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2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2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2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2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2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2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2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2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2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2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2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2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2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2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2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2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2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2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2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2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2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2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2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2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2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2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2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2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2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2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2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2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2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2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2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2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2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2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2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2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2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2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2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2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2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2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2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2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2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2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2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2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2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2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2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2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2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2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2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2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2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2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2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2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2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2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2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2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2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2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2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2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2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2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2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2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2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2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2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2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2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2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2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2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2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2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2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2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2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2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2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2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2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2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2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2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2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2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2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2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2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2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2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2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2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2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2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2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2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2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2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2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2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2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2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2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2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2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2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2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2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2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2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2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2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2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2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2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2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2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2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2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2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2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2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2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2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2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2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2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2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2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2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2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2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2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2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2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2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2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2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2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2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2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2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2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2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2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2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2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2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2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2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2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2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2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2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2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2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2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2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2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2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2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2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2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2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2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2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2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2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2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2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2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2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2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2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2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2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2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2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2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2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2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2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2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2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2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2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2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2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2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2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2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2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2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2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2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2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2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2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2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2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2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2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2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2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2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2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2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2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2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2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2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2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2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2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2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2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2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2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2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2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2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2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2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2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2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2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2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2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2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2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2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2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2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2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2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2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2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2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2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2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2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2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2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2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2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2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2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2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2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2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2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2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2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2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2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2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2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2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2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2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2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2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2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2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2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2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2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2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2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2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2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2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2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2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2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2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2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2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2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2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2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2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2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2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2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2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2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2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2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2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2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2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2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2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2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2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2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2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2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2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2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2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2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2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2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2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2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2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2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2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2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2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2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2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2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2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2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2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2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2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2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2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2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2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2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2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2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2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2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2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2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2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2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2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2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2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2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2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2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2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2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2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2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2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2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2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2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2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2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2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2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2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2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2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2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2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2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2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2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2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2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2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2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2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2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2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2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2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2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2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2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2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2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2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2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2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2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2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2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2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2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2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2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2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2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2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2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2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2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2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2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2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2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2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2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2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2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2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2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2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2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2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2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2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2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2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2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2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2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2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2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2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2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2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2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2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2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2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2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2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2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2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2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2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2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2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2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2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2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2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2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2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2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2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2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2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2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2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2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2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2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2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2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2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2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2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2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2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2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2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2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2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2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2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2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2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2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2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2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2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2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2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2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2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2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2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2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2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2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2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2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2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2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2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2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2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2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2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2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2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2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2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2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2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2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2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2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2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2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2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2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2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2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2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2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2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2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2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2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2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2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2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2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2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2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2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2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2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2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2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2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2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2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2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2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2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2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2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2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2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2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2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2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2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2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2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2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2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2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2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2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2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2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2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2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2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2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2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2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2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2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2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2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2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2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2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2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2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2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2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2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2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2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2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2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2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2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2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2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2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2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2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2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2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2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2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2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2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2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2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2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2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2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2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2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2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2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2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2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2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2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2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2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2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2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2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2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2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2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2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2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2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2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2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2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2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2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2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2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2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2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2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2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2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2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2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2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2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2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2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2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2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9">
    <mergeCell ref="B40:B41"/>
    <mergeCell ref="O40:O41"/>
    <mergeCell ref="B22:B23"/>
    <mergeCell ref="C22:E22"/>
    <mergeCell ref="F22:H22"/>
    <mergeCell ref="I22:K22"/>
    <mergeCell ref="L22:N22"/>
    <mergeCell ref="L4:N4"/>
    <mergeCell ref="O4:O5"/>
    <mergeCell ref="C40:E40"/>
    <mergeCell ref="F40:H40"/>
    <mergeCell ref="I40:K40"/>
    <mergeCell ref="L40:N40"/>
    <mergeCell ref="O22:O23"/>
    <mergeCell ref="B1:D2"/>
    <mergeCell ref="B4:B5"/>
    <mergeCell ref="C4:E4"/>
    <mergeCell ref="F4:H4"/>
    <mergeCell ref="I4:K4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99"/>
  </sheetPr>
  <dimension ref="A1:Z991"/>
  <sheetViews>
    <sheetView workbookViewId="0"/>
  </sheetViews>
  <sheetFormatPr baseColWidth="10" defaultColWidth="11.25" defaultRowHeight="15" customHeight="1"/>
  <cols>
    <col min="1" max="1" width="1.3125" customWidth="1"/>
    <col min="2" max="2" width="22" customWidth="1"/>
    <col min="3" max="11" width="13.6875" customWidth="1"/>
    <col min="12" max="14" width="15" customWidth="1"/>
    <col min="15" max="15" width="16" customWidth="1"/>
    <col min="16" max="26" width="8.3125" customWidth="1"/>
  </cols>
  <sheetData>
    <row r="1" spans="1:26" ht="16.5" customHeight="1">
      <c r="A1" s="39"/>
      <c r="B1" s="88" t="s">
        <v>38</v>
      </c>
      <c r="C1" s="77"/>
      <c r="D1" s="77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6.5" customHeight="1">
      <c r="A2" s="39"/>
      <c r="B2" s="77"/>
      <c r="C2" s="77"/>
      <c r="D2" s="77"/>
      <c r="E2" s="40"/>
      <c r="F2" s="40"/>
      <c r="G2" s="40"/>
      <c r="H2" s="40"/>
      <c r="I2" s="40"/>
      <c r="J2" s="40"/>
      <c r="K2" s="40"/>
      <c r="L2" s="40"/>
      <c r="M2" s="40"/>
      <c r="N2" s="41"/>
      <c r="O2" s="5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.5" customHeight="1">
      <c r="A3" s="39"/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2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.5" customHeight="1">
      <c r="A4" s="39"/>
      <c r="B4" s="78">
        <v>2022</v>
      </c>
      <c r="C4" s="89" t="s">
        <v>2</v>
      </c>
      <c r="D4" s="81"/>
      <c r="E4" s="81"/>
      <c r="F4" s="90" t="s">
        <v>3</v>
      </c>
      <c r="G4" s="81"/>
      <c r="H4" s="81"/>
      <c r="I4" s="89" t="s">
        <v>4</v>
      </c>
      <c r="J4" s="81"/>
      <c r="K4" s="81"/>
      <c r="L4" s="90" t="s">
        <v>5</v>
      </c>
      <c r="M4" s="81"/>
      <c r="N4" s="81"/>
      <c r="O4" s="91" t="s">
        <v>39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.5" customHeight="1">
      <c r="A5" s="39"/>
      <c r="B5" s="79"/>
      <c r="C5" s="44" t="s">
        <v>7</v>
      </c>
      <c r="D5" s="24" t="s">
        <v>8</v>
      </c>
      <c r="E5" s="24" t="s">
        <v>9</v>
      </c>
      <c r="F5" s="45" t="s">
        <v>10</v>
      </c>
      <c r="G5" s="46" t="s">
        <v>11</v>
      </c>
      <c r="H5" s="46" t="s">
        <v>12</v>
      </c>
      <c r="I5" s="44" t="s">
        <v>13</v>
      </c>
      <c r="J5" s="24" t="s">
        <v>14</v>
      </c>
      <c r="K5" s="24" t="s">
        <v>15</v>
      </c>
      <c r="L5" s="45" t="s">
        <v>16</v>
      </c>
      <c r="M5" s="46" t="s">
        <v>17</v>
      </c>
      <c r="N5" s="46" t="s">
        <v>18</v>
      </c>
      <c r="O5" s="7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.5" customHeight="1">
      <c r="A6" s="39"/>
      <c r="B6" s="47" t="s">
        <v>19</v>
      </c>
      <c r="C6" s="14">
        <f t="shared" ref="C6:N6" si="0">SUM(C7:C15)</f>
        <v>0</v>
      </c>
      <c r="D6" s="14">
        <f t="shared" si="0"/>
        <v>0</v>
      </c>
      <c r="E6" s="14">
        <f t="shared" si="0"/>
        <v>14200</v>
      </c>
      <c r="F6" s="16">
        <f t="shared" si="0"/>
        <v>19282.5</v>
      </c>
      <c r="G6" s="16">
        <f t="shared" si="0"/>
        <v>24210.625</v>
      </c>
      <c r="H6" s="16">
        <f t="shared" si="0"/>
        <v>30370.78125</v>
      </c>
      <c r="I6" s="14">
        <f t="shared" si="0"/>
        <v>38363.9453125</v>
      </c>
      <c r="J6" s="14">
        <f t="shared" si="0"/>
        <v>48062.431640625</v>
      </c>
      <c r="K6" s="14">
        <f t="shared" si="0"/>
        <v>60185.53955078125</v>
      </c>
      <c r="L6" s="16">
        <f t="shared" si="0"/>
        <v>75339.424438476563</v>
      </c>
      <c r="M6" s="16">
        <f t="shared" si="0"/>
        <v>94281.780548095703</v>
      </c>
      <c r="N6" s="16">
        <f t="shared" si="0"/>
        <v>117959.72568511963</v>
      </c>
      <c r="O6" s="18">
        <f t="shared" ref="O6:O15" si="1">SUM(C6:N6)</f>
        <v>522256.75342559814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.5" customHeight="1">
      <c r="A7" s="39"/>
      <c r="B7" s="19" t="s">
        <v>37</v>
      </c>
      <c r="C7" s="20">
        <f>(Traffic!C7*Kanäle!$C$5)*Kanäle!$C$2</f>
        <v>0</v>
      </c>
      <c r="D7" s="20">
        <f>(Traffic!D7*Kanäle!$C$5)*Kanäle!$C$2</f>
        <v>0</v>
      </c>
      <c r="E7" s="20">
        <f>(Traffic!E7*Kanäle!$C$5)*Kanäle!$C$2</f>
        <v>6000</v>
      </c>
      <c r="F7" s="21">
        <f>(Traffic!F7*Kanäle!$C$5)*Kanäle!$C$2</f>
        <v>7500</v>
      </c>
      <c r="G7" s="21">
        <f>(Traffic!G7*Kanäle!$C$5)*Kanäle!$C$2</f>
        <v>9375</v>
      </c>
      <c r="H7" s="21">
        <f>(Traffic!H7*Kanäle!$C$5)*Kanäle!$C$2</f>
        <v>11718.75</v>
      </c>
      <c r="I7" s="20">
        <f>(Traffic!I7*Kanäle!$C$5)*Kanäle!$C$2</f>
        <v>14648.4375</v>
      </c>
      <c r="J7" s="20">
        <f>(Traffic!J7*Kanäle!$C$5)*Kanäle!$C$2</f>
        <v>18310.546875</v>
      </c>
      <c r="K7" s="20">
        <f>(Traffic!K7*Kanäle!$C$5)*Kanäle!$C$2</f>
        <v>22888.18359375</v>
      </c>
      <c r="L7" s="21">
        <f>(Traffic!L7*Kanäle!$C$5)*Kanäle!$C$2</f>
        <v>28610.2294921875</v>
      </c>
      <c r="M7" s="21">
        <f>(Traffic!M7*Kanäle!$C$5)*Kanäle!$C$2</f>
        <v>35762.786865234375</v>
      </c>
      <c r="N7" s="21">
        <f>(Traffic!N7*Kanäle!$C$5)*Kanäle!$C$2</f>
        <v>44703.483581542969</v>
      </c>
      <c r="O7" s="18">
        <f t="shared" si="1"/>
        <v>199517.41790771484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6.5" customHeight="1">
      <c r="A8" s="39"/>
      <c r="B8" s="19"/>
      <c r="C8" s="20">
        <v>0</v>
      </c>
      <c r="D8" s="20">
        <v>0</v>
      </c>
      <c r="E8" s="20">
        <v>0</v>
      </c>
      <c r="F8" s="21">
        <v>0</v>
      </c>
      <c r="G8" s="21">
        <v>0</v>
      </c>
      <c r="H8" s="21">
        <v>0</v>
      </c>
      <c r="I8" s="20">
        <v>0</v>
      </c>
      <c r="J8" s="20">
        <v>0</v>
      </c>
      <c r="K8" s="20">
        <v>0</v>
      </c>
      <c r="L8" s="21">
        <v>0</v>
      </c>
      <c r="M8" s="21">
        <v>0</v>
      </c>
      <c r="N8" s="21">
        <v>0</v>
      </c>
      <c r="O8" s="18">
        <f t="shared" si="1"/>
        <v>0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.5" customHeight="1">
      <c r="A9" s="39"/>
      <c r="B9" s="19" t="s">
        <v>22</v>
      </c>
      <c r="C9" s="20">
        <f>(Traffic!C9*Kanäle!$C$13)*Kanäle!$C$2</f>
        <v>0</v>
      </c>
      <c r="D9" s="20">
        <f>(Traffic!D9*Kanäle!$C$13)*Kanäle!$C$2</f>
        <v>0</v>
      </c>
      <c r="E9" s="20">
        <f>(Traffic!E9*Kanäle!$C$13)*Kanäle!$C$2</f>
        <v>8000</v>
      </c>
      <c r="F9" s="21">
        <f>(Traffic!F9*Kanäle!$C$13)*Kanäle!$C$2</f>
        <v>10000</v>
      </c>
      <c r="G9" s="21">
        <f>(Traffic!G9*Kanäle!$C$13)*Kanäle!$C$2</f>
        <v>12500</v>
      </c>
      <c r="H9" s="21">
        <f>(Traffic!H9*Kanäle!$C$13)*Kanäle!$C$2</f>
        <v>15625</v>
      </c>
      <c r="I9" s="20">
        <f>(Traffic!I9*Kanäle!$C$13)*Kanäle!$C$2</f>
        <v>19531.25</v>
      </c>
      <c r="J9" s="20">
        <f>(Traffic!J9*Kanäle!$C$13)*Kanäle!$C$2</f>
        <v>24414.0625</v>
      </c>
      <c r="K9" s="20">
        <f>(Traffic!K9*Kanäle!$C$13)*Kanäle!$C$2</f>
        <v>30517.578125</v>
      </c>
      <c r="L9" s="21">
        <f>(Traffic!L9*Kanäle!$C$13)*Kanäle!$C$2</f>
        <v>38146.97265625</v>
      </c>
      <c r="M9" s="21">
        <f>(Traffic!M9*Kanäle!$C$13)*Kanäle!$C$2</f>
        <v>47683.7158203125</v>
      </c>
      <c r="N9" s="21">
        <f>(Traffic!N9*Kanäle!$C$13)*Kanäle!$C$2</f>
        <v>59604.644775390625</v>
      </c>
      <c r="O9" s="18">
        <f t="shared" si="1"/>
        <v>266023.22387695313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.5" customHeight="1">
      <c r="A10" s="39"/>
      <c r="B10" s="19" t="s">
        <v>23</v>
      </c>
      <c r="C10" s="20">
        <f>(Traffic!C10*Kanäle!$C$17)*Kanäle!$C$2</f>
        <v>0</v>
      </c>
      <c r="D10" s="20">
        <f>(Traffic!D10*Kanäle!$C$17)*Kanäle!$C$2</f>
        <v>0</v>
      </c>
      <c r="E10" s="20">
        <f>(Traffic!E10*Kanäle!$C$17)*Kanäle!$C$2</f>
        <v>0</v>
      </c>
      <c r="F10" s="21">
        <f>(Traffic!F10*Kanäle!$C$17)*Kanäle!$C$2</f>
        <v>0</v>
      </c>
      <c r="G10" s="21">
        <f>(Traffic!G10*Kanäle!$C$17)*Kanäle!$C$2</f>
        <v>0</v>
      </c>
      <c r="H10" s="21">
        <f>(Traffic!H10*Kanäle!$C$17)*Kanäle!$C$2</f>
        <v>0</v>
      </c>
      <c r="I10" s="20">
        <f>(Traffic!I10*Kanäle!$C$17)*Kanäle!$C$2</f>
        <v>0</v>
      </c>
      <c r="J10" s="20">
        <f>(Traffic!J10*Kanäle!$C$17)*Kanäle!$C$2</f>
        <v>0</v>
      </c>
      <c r="K10" s="20">
        <f>(Traffic!K10*Kanäle!$C$17)*Kanäle!$C$2</f>
        <v>0</v>
      </c>
      <c r="L10" s="21">
        <f>(Traffic!L10*Kanäle!$C$17)*Kanäle!$C$2</f>
        <v>0</v>
      </c>
      <c r="M10" s="21">
        <f>(Traffic!M10*Kanäle!$C$17)*Kanäle!$C$2</f>
        <v>0</v>
      </c>
      <c r="N10" s="21">
        <f>(Traffic!N10*Kanäle!$C$17)*Kanäle!$C$2</f>
        <v>0</v>
      </c>
      <c r="O10" s="18">
        <f t="shared" si="1"/>
        <v>0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.5" customHeight="1">
      <c r="A11" s="39"/>
      <c r="B11" s="19" t="s">
        <v>24</v>
      </c>
      <c r="C11" s="20">
        <f>(Traffic!C11*Kanäle!$C$22)*Kanäle!$C$2</f>
        <v>0</v>
      </c>
      <c r="D11" s="20">
        <f>(Traffic!D11*Kanäle!$C$22)*Kanäle!$C$2</f>
        <v>0</v>
      </c>
      <c r="E11" s="20">
        <f>(Traffic!E11*Kanäle!$C$22)*Kanäle!$C$2</f>
        <v>0</v>
      </c>
      <c r="F11" s="21">
        <f>(Traffic!F11*Kanäle!$C$22)*Kanäle!$C$2</f>
        <v>0</v>
      </c>
      <c r="G11" s="21">
        <f>(Traffic!G11*Kanäle!$C$22)*Kanäle!$C$2</f>
        <v>0</v>
      </c>
      <c r="H11" s="21">
        <f>(Traffic!H11*Kanäle!$C$22)*Kanäle!$C$2</f>
        <v>0</v>
      </c>
      <c r="I11" s="20">
        <f>(Traffic!I11*Kanäle!$C$22)*Kanäle!$C$2</f>
        <v>0</v>
      </c>
      <c r="J11" s="20">
        <f>(Traffic!J11*Kanäle!$C$22)*Kanäle!$C$2</f>
        <v>0</v>
      </c>
      <c r="K11" s="20">
        <f>(Traffic!K11*Kanäle!$C$22)*Kanäle!$C$2</f>
        <v>0</v>
      </c>
      <c r="L11" s="21">
        <f>(Traffic!L11*Kanäle!$C$22)*Kanäle!$C$2</f>
        <v>0</v>
      </c>
      <c r="M11" s="21">
        <f>(Traffic!M11*Kanäle!$C$22)*Kanäle!$C$2</f>
        <v>0</v>
      </c>
      <c r="N11" s="21">
        <f>(Traffic!N11*Kanäle!$C$22)*Kanäle!$C$2</f>
        <v>0</v>
      </c>
      <c r="O11" s="18">
        <f t="shared" si="1"/>
        <v>0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.5" customHeight="1">
      <c r="A12" s="39"/>
      <c r="B12" s="19" t="s">
        <v>25</v>
      </c>
      <c r="C12" s="20">
        <f>(Traffic!C12*Kanäle!$C$27)*Kanäle!$C$2</f>
        <v>0</v>
      </c>
      <c r="D12" s="20">
        <f>(Traffic!D12*Kanäle!$C$27)*Kanäle!$C$2</f>
        <v>0</v>
      </c>
      <c r="E12" s="20">
        <f>(Traffic!E12*Kanäle!$C$27)*Kanäle!$C$2</f>
        <v>0</v>
      </c>
      <c r="F12" s="21">
        <f>(Traffic!F12*Kanäle!$C$27)*Kanäle!$C$2</f>
        <v>0</v>
      </c>
      <c r="G12" s="21">
        <f>(Traffic!G12*Kanäle!$C$27)*Kanäle!$C$2</f>
        <v>0</v>
      </c>
      <c r="H12" s="21">
        <f>(Traffic!H12*Kanäle!$C$27)*Kanäle!$C$2</f>
        <v>0</v>
      </c>
      <c r="I12" s="20">
        <f>(Traffic!I12*Kanäle!$C$27)*Kanäle!$C$2</f>
        <v>0</v>
      </c>
      <c r="J12" s="20">
        <f>(Traffic!J12*Kanäle!$C$27)*Kanäle!$C$2</f>
        <v>0</v>
      </c>
      <c r="K12" s="20">
        <f>(Traffic!K12*Kanäle!$C$27)*Kanäle!$C$2</f>
        <v>0</v>
      </c>
      <c r="L12" s="21">
        <f>(Traffic!L12*Kanäle!$C$27)*Kanäle!$C$2</f>
        <v>0</v>
      </c>
      <c r="M12" s="21">
        <f>(Traffic!M12*Kanäle!$C$27)*Kanäle!$C$2</f>
        <v>0</v>
      </c>
      <c r="N12" s="21">
        <f>(Traffic!N12*Kanäle!$C$27)*Kanäle!$C$2</f>
        <v>0</v>
      </c>
      <c r="O12" s="18">
        <f t="shared" si="1"/>
        <v>0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.5" customHeight="1">
      <c r="A13" s="39"/>
      <c r="B13" s="19" t="s">
        <v>26</v>
      </c>
      <c r="C13" s="20">
        <f>(Traffic!C13*Kanäle!$C$32)*Kanäle!$C$2</f>
        <v>0</v>
      </c>
      <c r="D13" s="20">
        <f>(Traffic!D13*Kanäle!$C$32)*Kanäle!$C$2</f>
        <v>0</v>
      </c>
      <c r="E13" s="20">
        <f>(Traffic!E13*Kanäle!$C$32)*Kanäle!$C$2</f>
        <v>200</v>
      </c>
      <c r="F13" s="21">
        <f>(Traffic!F13*0.02)*40</f>
        <v>100</v>
      </c>
      <c r="G13" s="21">
        <f>(Traffic!G13*0.02)*40</f>
        <v>125</v>
      </c>
      <c r="H13" s="21">
        <f>(Traffic!H13*0.02)*40</f>
        <v>156.25</v>
      </c>
      <c r="I13" s="20">
        <f>(Traffic!I13*Kanäle!$C$32)*Kanäle!$C$2</f>
        <v>488.28125</v>
      </c>
      <c r="J13" s="20">
        <f>(Traffic!J13*Kanäle!$C$32)*Kanäle!$C$2</f>
        <v>610.3515625</v>
      </c>
      <c r="K13" s="20">
        <f>(Traffic!K13*Kanäle!$C$32)*Kanäle!$C$2</f>
        <v>762.939453125</v>
      </c>
      <c r="L13" s="21">
        <f>(Traffic!L13*Kanäle!$C$32)*Kanäle!$C$2</f>
        <v>953.67431640625</v>
      </c>
      <c r="M13" s="21">
        <f>(Traffic!M13*Kanäle!$C$32)*Kanäle!$C$2</f>
        <v>1192.0928955078125</v>
      </c>
      <c r="N13" s="21">
        <f>(Traffic!N13*Kanäle!$C$32)*Kanäle!$C$2</f>
        <v>1490.1161193847656</v>
      </c>
      <c r="O13" s="18">
        <f t="shared" si="1"/>
        <v>6078.7055969238281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6.5" customHeight="1">
      <c r="A14" s="39"/>
      <c r="B14" s="19" t="s">
        <v>27</v>
      </c>
      <c r="C14" s="20">
        <f>(Traffic!C14*Kanäle!$C$36)*Kanäle!$C$2</f>
        <v>0</v>
      </c>
      <c r="D14" s="20">
        <f>(Traffic!D14*Kanäle!$C$36)*Kanäle!$C$2</f>
        <v>0</v>
      </c>
      <c r="E14" s="20">
        <f>(Traffic!E14*Kanäle!$C$36)*Kanäle!$C$2</f>
        <v>0</v>
      </c>
      <c r="F14" s="21">
        <f>(Traffic!F14*Kanäle!$C$36)*Kanäle!$C$2</f>
        <v>100</v>
      </c>
      <c r="G14" s="21">
        <f>(Traffic!G14*Kanäle!$C$36)*Kanäle!$C$2</f>
        <v>225</v>
      </c>
      <c r="H14" s="21">
        <f>(Traffic!H14*Kanäle!$C$36)*Kanäle!$C$2</f>
        <v>381.25</v>
      </c>
      <c r="I14" s="20">
        <f>(Traffic!I14*Kanäle!$C$36)*Kanäle!$C$2</f>
        <v>576.5625</v>
      </c>
      <c r="J14" s="20">
        <f>(Traffic!J14*Kanäle!$C$36)*Kanäle!$C$2</f>
        <v>820.703125</v>
      </c>
      <c r="K14" s="20">
        <f>(Traffic!K14*Kanäle!$C$36)*Kanäle!$C$2</f>
        <v>1125.87890625</v>
      </c>
      <c r="L14" s="21">
        <f>(Traffic!L14*Kanäle!$C$36)*Kanäle!$C$2</f>
        <v>1507.3486328125</v>
      </c>
      <c r="M14" s="21">
        <f>(Traffic!M14*Kanäle!$C$36)*Kanäle!$C$2</f>
        <v>1984.185791015625</v>
      </c>
      <c r="N14" s="21">
        <f>(Traffic!N14*Kanäle!$C$36)*Kanäle!$C$2</f>
        <v>2580.2322387695313</v>
      </c>
      <c r="O14" s="18">
        <f t="shared" si="1"/>
        <v>9301.1611938476563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.5" customHeight="1">
      <c r="A15" s="39"/>
      <c r="B15" s="22" t="s">
        <v>28</v>
      </c>
      <c r="C15" s="20">
        <f>(Traffic!C15*Kanäle!$B$2)*Kanäle!$C$2</f>
        <v>0</v>
      </c>
      <c r="D15" s="20">
        <f>(Traffic!D15*Kanäle!$B$2)*Kanäle!$C$2</f>
        <v>0</v>
      </c>
      <c r="E15" s="20">
        <f>(Traffic!E15*Kanäle!$B$2)*Kanäle!$C$2</f>
        <v>0</v>
      </c>
      <c r="F15" s="21">
        <f>(Traffic!F15*Kanäle!$B$2)*Kanäle!$C$2</f>
        <v>1582.5</v>
      </c>
      <c r="G15" s="21">
        <f>(Traffic!G15*Kanäle!$B$2)*Kanäle!$C$2</f>
        <v>1985.625</v>
      </c>
      <c r="H15" s="21">
        <f>(Traffic!H15*Kanäle!$B$2)*Kanäle!$C$2</f>
        <v>2489.53125</v>
      </c>
      <c r="I15" s="20">
        <f>(Traffic!I15*Kanäle!$B$2)*Kanäle!$C$2</f>
        <v>3119.4140625</v>
      </c>
      <c r="J15" s="20">
        <f>(Traffic!J15*Kanäle!$B$2)*Kanäle!$C$2</f>
        <v>3906.7675781249995</v>
      </c>
      <c r="K15" s="20">
        <f>(Traffic!K15*Kanäle!$B$2)*Kanäle!$C$2</f>
        <v>4890.95947265625</v>
      </c>
      <c r="L15" s="21">
        <f>(Traffic!L15*Kanäle!$B$2)*Kanäle!$C$2</f>
        <v>6121.1993408203125</v>
      </c>
      <c r="M15" s="21">
        <f>(Traffic!M15*Kanäle!$B$2)*Kanäle!$C$2</f>
        <v>7658.9991760253906</v>
      </c>
      <c r="N15" s="21">
        <f>(Traffic!N15*Kanäle!$B$2)*Kanäle!$C$2</f>
        <v>9581.2489700317383</v>
      </c>
      <c r="O15" s="18">
        <f t="shared" si="1"/>
        <v>41336.244850158691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.5" customHeight="1">
      <c r="A16" s="39"/>
      <c r="B16" s="45" t="s">
        <v>32</v>
      </c>
      <c r="C16" s="24">
        <f t="shared" ref="C16:O16" si="2">SUM(C7:C15)</f>
        <v>0</v>
      </c>
      <c r="D16" s="24">
        <f t="shared" si="2"/>
        <v>0</v>
      </c>
      <c r="E16" s="24">
        <f t="shared" si="2"/>
        <v>14200</v>
      </c>
      <c r="F16" s="24">
        <f t="shared" si="2"/>
        <v>19282.5</v>
      </c>
      <c r="G16" s="24">
        <f t="shared" si="2"/>
        <v>24210.625</v>
      </c>
      <c r="H16" s="24">
        <f t="shared" si="2"/>
        <v>30370.78125</v>
      </c>
      <c r="I16" s="24">
        <f t="shared" si="2"/>
        <v>38363.9453125</v>
      </c>
      <c r="J16" s="24">
        <f t="shared" si="2"/>
        <v>48062.431640625</v>
      </c>
      <c r="K16" s="24">
        <f t="shared" si="2"/>
        <v>60185.53955078125</v>
      </c>
      <c r="L16" s="24">
        <f t="shared" si="2"/>
        <v>75339.424438476563</v>
      </c>
      <c r="M16" s="24">
        <f t="shared" si="2"/>
        <v>94281.780548095703</v>
      </c>
      <c r="N16" s="24">
        <f t="shared" si="2"/>
        <v>117959.72568511963</v>
      </c>
      <c r="O16" s="25">
        <f t="shared" si="2"/>
        <v>522256.75342559814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6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6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6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>
      <c r="A22" s="39"/>
      <c r="B22" s="78">
        <v>2023</v>
      </c>
      <c r="C22" s="48" t="s">
        <v>2</v>
      </c>
      <c r="D22" s="49"/>
      <c r="E22" s="49"/>
      <c r="F22" s="50" t="s">
        <v>3</v>
      </c>
      <c r="G22" s="51"/>
      <c r="H22" s="51"/>
      <c r="I22" s="48" t="s">
        <v>4</v>
      </c>
      <c r="J22" s="49"/>
      <c r="K22" s="49"/>
      <c r="L22" s="50" t="s">
        <v>5</v>
      </c>
      <c r="M22" s="51"/>
      <c r="N22" s="51"/>
      <c r="O22" s="52" t="s">
        <v>40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6.5" customHeight="1">
      <c r="A23" s="39"/>
      <c r="B23" s="79"/>
      <c r="C23" s="44" t="s">
        <v>7</v>
      </c>
      <c r="D23" s="24" t="s">
        <v>8</v>
      </c>
      <c r="E23" s="24" t="s">
        <v>9</v>
      </c>
      <c r="F23" s="45" t="s">
        <v>10</v>
      </c>
      <c r="G23" s="46" t="s">
        <v>11</v>
      </c>
      <c r="H23" s="46" t="s">
        <v>12</v>
      </c>
      <c r="I23" s="44" t="s">
        <v>13</v>
      </c>
      <c r="J23" s="24" t="s">
        <v>14</v>
      </c>
      <c r="K23" s="24" t="s">
        <v>15</v>
      </c>
      <c r="L23" s="45" t="s">
        <v>16</v>
      </c>
      <c r="M23" s="46" t="s">
        <v>17</v>
      </c>
      <c r="N23" s="46" t="s">
        <v>18</v>
      </c>
      <c r="O23" s="53" t="s">
        <v>32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6.5" customHeight="1">
      <c r="A24" s="39"/>
      <c r="B24" s="47" t="s">
        <v>19</v>
      </c>
      <c r="C24" s="14">
        <f t="shared" ref="C24:N24" si="3">SUM(C25:C33)</f>
        <v>221498.32328796387</v>
      </c>
      <c r="D24" s="14">
        <f t="shared" si="3"/>
        <v>228368.03071975708</v>
      </c>
      <c r="E24" s="14">
        <f t="shared" si="3"/>
        <v>263749.95896339417</v>
      </c>
      <c r="F24" s="16">
        <f t="shared" si="3"/>
        <v>273520.33010005951</v>
      </c>
      <c r="G24" s="16">
        <f t="shared" si="3"/>
        <v>283540.98841905594</v>
      </c>
      <c r="H24" s="16">
        <f t="shared" si="3"/>
        <v>322259.96263861656</v>
      </c>
      <c r="I24" s="14">
        <f t="shared" si="3"/>
        <v>335572.0843487978</v>
      </c>
      <c r="J24" s="14">
        <f t="shared" si="3"/>
        <v>349359.66829866177</v>
      </c>
      <c r="K24" s="14">
        <f t="shared" si="3"/>
        <v>392093.26071217662</v>
      </c>
      <c r="L24" s="16">
        <f t="shared" si="3"/>
        <v>409692.46243570757</v>
      </c>
      <c r="M24" s="16">
        <f t="shared" si="3"/>
        <v>428066.83440025611</v>
      </c>
      <c r="N24" s="16">
        <f t="shared" si="3"/>
        <v>475716.89362992404</v>
      </c>
      <c r="O24" s="18">
        <f t="shared" ref="O24:O33" si="4">SUM(C24:N24)</f>
        <v>3983438.7979543707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6.5" customHeight="1">
      <c r="A25" s="39"/>
      <c r="B25" s="19" t="s">
        <v>37</v>
      </c>
      <c r="C25" s="20">
        <f>(Traffic!C25*Kanäle!$C$5)*Kanäle!$C$2</f>
        <v>49173.831939697266</v>
      </c>
      <c r="D25" s="20">
        <f>(Traffic!D25*Kanäle!$C$5)*Kanäle!$C$2</f>
        <v>54091.215133666992</v>
      </c>
      <c r="E25" s="20">
        <f>(Traffic!E25*Kanäle!$C$5)*Kanäle!$C$2</f>
        <v>59500.336647033691</v>
      </c>
      <c r="F25" s="21">
        <f>(Traffic!F25*Kanäle!$C$5)*Kanäle!$C$2</f>
        <v>65450.370311737061</v>
      </c>
      <c r="G25" s="21">
        <f>(Traffic!G25*Kanäle!$C$5)*Kanäle!$C$2</f>
        <v>71995.407342910781</v>
      </c>
      <c r="H25" s="21">
        <f>(Traffic!H25*Kanäle!$C$5)*Kanäle!$C$2</f>
        <v>79194.948077201872</v>
      </c>
      <c r="I25" s="20">
        <f>(Traffic!I25*Kanäle!$C$5)*Kanäle!$C$2</f>
        <v>87114.442884922057</v>
      </c>
      <c r="J25" s="20">
        <f>(Traffic!J25*Kanäle!$C$5)*Kanäle!$C$2</f>
        <v>95825.887173414274</v>
      </c>
      <c r="K25" s="20">
        <f>(Traffic!K25*Kanäle!$C$5)*Kanäle!$C$2</f>
        <v>105408.47589075573</v>
      </c>
      <c r="L25" s="21">
        <f>(Traffic!L25*Kanäle!$C$5)*Kanäle!$C$2</f>
        <v>115949.32347983131</v>
      </c>
      <c r="M25" s="21">
        <f>(Traffic!M25*Kanäle!$C$5)*Kanäle!$C$2</f>
        <v>127544.25582781444</v>
      </c>
      <c r="N25" s="21">
        <f>(Traffic!N25*Kanäle!$C$5)*Kanäle!$C$2</f>
        <v>140298.68141059589</v>
      </c>
      <c r="O25" s="18">
        <f t="shared" si="4"/>
        <v>1051547.1761195813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6.5" customHeight="1">
      <c r="A26" s="39"/>
      <c r="B26" s="19"/>
      <c r="C26" s="20">
        <v>0</v>
      </c>
      <c r="D26" s="20">
        <v>0</v>
      </c>
      <c r="E26" s="20">
        <v>0</v>
      </c>
      <c r="F26" s="21">
        <v>0</v>
      </c>
      <c r="G26" s="21">
        <v>0</v>
      </c>
      <c r="H26" s="21">
        <v>0</v>
      </c>
      <c r="I26" s="20">
        <v>0</v>
      </c>
      <c r="J26" s="20">
        <v>0</v>
      </c>
      <c r="K26" s="20">
        <v>0</v>
      </c>
      <c r="L26" s="21">
        <v>0</v>
      </c>
      <c r="M26" s="21">
        <v>0</v>
      </c>
      <c r="N26" s="21">
        <v>0</v>
      </c>
      <c r="O26" s="18">
        <f t="shared" si="4"/>
        <v>0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6.5" customHeight="1">
      <c r="A27" s="39"/>
      <c r="B27" s="19" t="s">
        <v>22</v>
      </c>
      <c r="C27" s="20">
        <f>(Traffic!C27*Kanäle!$C$13)*Kanäle!$C$2</f>
        <v>55604.644775390625</v>
      </c>
      <c r="D27" s="20">
        <f>(Traffic!D27*Kanäle!$C$13)*Kanäle!$C$2</f>
        <v>51604.644775390625</v>
      </c>
      <c r="E27" s="20">
        <f>(Traffic!E27*Kanäle!$C$13)*Kanäle!$C$2</f>
        <v>71604.644775390625</v>
      </c>
      <c r="F27" s="21">
        <f>(Traffic!F27*Kanäle!$C$13)*Kanäle!$C$2</f>
        <v>67604.644775390625</v>
      </c>
      <c r="G27" s="21">
        <f>(Traffic!G27*Kanäle!$C$13)*Kanäle!$C$2</f>
        <v>63604.644775390625</v>
      </c>
      <c r="H27" s="21">
        <f>(Traffic!H27*Kanäle!$C$13)*Kanäle!$C$2</f>
        <v>83604.644775390625</v>
      </c>
      <c r="I27" s="20">
        <f>(Traffic!I27*Kanäle!$C$13)*Kanäle!$C$2</f>
        <v>79604.644775390625</v>
      </c>
      <c r="J27" s="20">
        <f>(Traffic!J27*Kanäle!$C$13)*Kanäle!$C$2</f>
        <v>75604.644775390625</v>
      </c>
      <c r="K27" s="20">
        <f>(Traffic!K27*Kanäle!$C$13)*Kanäle!$C$2</f>
        <v>95604.644775390625</v>
      </c>
      <c r="L27" s="21">
        <f>(Traffic!L27*Kanäle!$C$13)*Kanäle!$C$2</f>
        <v>91604.644775390625</v>
      </c>
      <c r="M27" s="21">
        <f>(Traffic!M27*Kanäle!$C$13)*Kanäle!$C$2</f>
        <v>87604.644775390625</v>
      </c>
      <c r="N27" s="21">
        <f>(Traffic!N27*Kanäle!$C$13)*Kanäle!$C$2</f>
        <v>107604.64477539063</v>
      </c>
      <c r="O27" s="18">
        <f t="shared" si="4"/>
        <v>931255.7373046875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6.5" customHeight="1">
      <c r="A28" s="39"/>
      <c r="B28" s="19" t="s">
        <v>23</v>
      </c>
      <c r="C28" s="20">
        <f>(Traffic!C28*Kanäle!$C$17)*Kanäle!$C$2</f>
        <v>36000</v>
      </c>
      <c r="D28" s="20">
        <f>(Traffic!D28*Kanäle!$C$17)*Kanäle!$C$2</f>
        <v>36000</v>
      </c>
      <c r="E28" s="20">
        <f>(Traffic!E28*Kanäle!$C$17)*Kanäle!$C$2</f>
        <v>36000</v>
      </c>
      <c r="F28" s="21">
        <f>(Traffic!F28*Kanäle!$C$17)*Kanäle!$C$2</f>
        <v>36000</v>
      </c>
      <c r="G28" s="21">
        <f>(Traffic!G28*Kanäle!$C$17)*Kanäle!$C$2</f>
        <v>36000</v>
      </c>
      <c r="H28" s="21">
        <f>(Traffic!H28*Kanäle!$C$17)*Kanäle!$C$2</f>
        <v>36000</v>
      </c>
      <c r="I28" s="20">
        <f>(Traffic!I28*Kanäle!$C$17)*Kanäle!$C$2</f>
        <v>36000</v>
      </c>
      <c r="J28" s="20">
        <f>(Traffic!J28*Kanäle!$C$17)*Kanäle!$C$2</f>
        <v>36000</v>
      </c>
      <c r="K28" s="20">
        <f>(Traffic!K28*Kanäle!$C$17)*Kanäle!$C$2</f>
        <v>36000</v>
      </c>
      <c r="L28" s="21">
        <f>(Traffic!L28*Kanäle!$C$17)*Kanäle!$C$2</f>
        <v>36000</v>
      </c>
      <c r="M28" s="21">
        <f>(Traffic!M28*Kanäle!$C$17)*Kanäle!$C$2</f>
        <v>36000</v>
      </c>
      <c r="N28" s="21">
        <f>(Traffic!N28*Kanäle!$C$17)*Kanäle!$C$2</f>
        <v>36000</v>
      </c>
      <c r="O28" s="18">
        <f t="shared" si="4"/>
        <v>432000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6.5" customHeight="1">
      <c r="A29" s="39"/>
      <c r="B29" s="19" t="s">
        <v>24</v>
      </c>
      <c r="C29" s="20">
        <f>(Traffic!C29*Kanäle!$C$22)*Kanäle!$C$2</f>
        <v>36000</v>
      </c>
      <c r="D29" s="20">
        <f>(Traffic!D29*Kanäle!$C$22)*Kanäle!$C$2</f>
        <v>36000</v>
      </c>
      <c r="E29" s="20">
        <f>(Traffic!E29*Kanäle!$C$22)*Kanäle!$C$2</f>
        <v>36000</v>
      </c>
      <c r="F29" s="21">
        <f>(Traffic!F29*Kanäle!$C$22)*Kanäle!$C$2</f>
        <v>36000</v>
      </c>
      <c r="G29" s="21">
        <f>(Traffic!G29*Kanäle!$C$22)*Kanäle!$C$2</f>
        <v>36000</v>
      </c>
      <c r="H29" s="21">
        <f>(Traffic!H29*Kanäle!$C$22)*Kanäle!$C$2</f>
        <v>36000</v>
      </c>
      <c r="I29" s="20">
        <f>(Traffic!I29*Kanäle!$C$22)*Kanäle!$C$2</f>
        <v>36000</v>
      </c>
      <c r="J29" s="20">
        <f>(Traffic!J29*Kanäle!$C$22)*Kanäle!$C$2</f>
        <v>36000</v>
      </c>
      <c r="K29" s="20">
        <f>(Traffic!K29*Kanäle!$C$22)*Kanäle!$C$2</f>
        <v>36000</v>
      </c>
      <c r="L29" s="21">
        <f>(Traffic!L29*Kanäle!$C$22)*Kanäle!$C$2</f>
        <v>36000</v>
      </c>
      <c r="M29" s="21">
        <f>(Traffic!M29*Kanäle!$C$22)*Kanäle!$C$2</f>
        <v>36000</v>
      </c>
      <c r="N29" s="21">
        <f>(Traffic!N29*Kanäle!$C$22)*Kanäle!$C$2</f>
        <v>36000</v>
      </c>
      <c r="O29" s="18">
        <f t="shared" si="4"/>
        <v>432000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6.5" customHeight="1">
      <c r="A30" s="39"/>
      <c r="B30" s="19" t="s">
        <v>25</v>
      </c>
      <c r="C30" s="20">
        <f>(Traffic!C30*Kanäle!$C$27)*Kanäle!$C$2</f>
        <v>18000</v>
      </c>
      <c r="D30" s="20">
        <f>(Traffic!D30*Kanäle!$C$27)*Kanäle!$C$2</f>
        <v>18000</v>
      </c>
      <c r="E30" s="20">
        <f>(Traffic!E30*Kanäle!$C$27)*Kanäle!$C$2</f>
        <v>18000</v>
      </c>
      <c r="F30" s="21">
        <f>(Traffic!F30*Kanäle!$C$27)*Kanäle!$C$2</f>
        <v>18000</v>
      </c>
      <c r="G30" s="21">
        <f>(Traffic!G30*Kanäle!$C$27)*Kanäle!$C$2</f>
        <v>18000</v>
      </c>
      <c r="H30" s="21">
        <f>(Traffic!H30*Kanäle!$C$27)*Kanäle!$C$2</f>
        <v>18000</v>
      </c>
      <c r="I30" s="20">
        <f>(Traffic!I30*Kanäle!$C$27)*Kanäle!$C$2</f>
        <v>18000</v>
      </c>
      <c r="J30" s="20">
        <f>(Traffic!J30*Kanäle!$C$27)*Kanäle!$C$2</f>
        <v>18000</v>
      </c>
      <c r="K30" s="20">
        <f>(Traffic!K30*Kanäle!$C$27)*Kanäle!$C$2</f>
        <v>18000</v>
      </c>
      <c r="L30" s="21">
        <f>(Traffic!L30*Kanäle!$C$27)*Kanäle!$C$2</f>
        <v>18000</v>
      </c>
      <c r="M30" s="21">
        <f>(Traffic!M30*Kanäle!$C$27)*Kanäle!$C$2</f>
        <v>18000</v>
      </c>
      <c r="N30" s="21">
        <f>(Traffic!N30*Kanäle!$C$27)*Kanäle!$C$2</f>
        <v>18000</v>
      </c>
      <c r="O30" s="18">
        <f t="shared" si="4"/>
        <v>216000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6.5" customHeight="1">
      <c r="A31" s="39"/>
      <c r="B31" s="19" t="s">
        <v>26</v>
      </c>
      <c r="C31" s="20">
        <f>(Traffic!C31*Kanäle!$C$32)*Kanäle!$C$2</f>
        <v>1639.1277313232426</v>
      </c>
      <c r="D31" s="20">
        <f>(Traffic!D31*Kanäle!$C$32)*Kanäle!$C$2</f>
        <v>1803.0405044555669</v>
      </c>
      <c r="E31" s="20">
        <f>(Traffic!E31*Kanäle!$C$32)*Kanäle!$C$2</f>
        <v>1983.3445549011237</v>
      </c>
      <c r="F31" s="21">
        <f>(Traffic!F31*Kanäle!$C$32)*Kanäle!$C$2</f>
        <v>2181.6790103912363</v>
      </c>
      <c r="G31" s="21">
        <f>(Traffic!G31*Kanäle!$C$32)*Kanäle!$C$2</f>
        <v>2399.8469114303603</v>
      </c>
      <c r="H31" s="21">
        <f>(Traffic!H31*Kanäle!$C$32)*Kanäle!$C$2</f>
        <v>2639.8316025733966</v>
      </c>
      <c r="I31" s="20">
        <f>(Traffic!I31*Kanäle!$C$32)*Kanäle!$C$2</f>
        <v>2903.8147628307365</v>
      </c>
      <c r="J31" s="20">
        <f>(Traffic!J31*Kanäle!$C$32)*Kanäle!$C$2</f>
        <v>3194.1962391138104</v>
      </c>
      <c r="K31" s="20">
        <f>(Traffic!K31*Kanäle!$C$32)*Kanäle!$C$2</f>
        <v>3513.6158630251921</v>
      </c>
      <c r="L31" s="21">
        <f>(Traffic!L31*Kanäle!$C$32)*Kanäle!$C$2</f>
        <v>3864.9774493277109</v>
      </c>
      <c r="M31" s="21">
        <f>(Traffic!M31*Kanäle!$C$32)*Kanäle!$C$2</f>
        <v>4251.4751942604826</v>
      </c>
      <c r="N31" s="21">
        <f>(Traffic!N31*Kanäle!$C$32)*Kanäle!$C$2</f>
        <v>4676.6227136865309</v>
      </c>
      <c r="O31" s="18">
        <f t="shared" si="4"/>
        <v>35051.572537319385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6.5" customHeight="1">
      <c r="A32" s="39"/>
      <c r="B32" s="19" t="s">
        <v>27</v>
      </c>
      <c r="C32" s="20">
        <f>(Traffic!C32*Kanäle!$C$36)*Kanäle!$C$2</f>
        <v>8140.6967163085938</v>
      </c>
      <c r="D32" s="20">
        <f>(Traffic!D32*Kanäle!$C$36)*Kanäle!$C$2</f>
        <v>13301.161193847656</v>
      </c>
      <c r="E32" s="20">
        <f>(Traffic!E32*Kanäle!$C$36)*Kanäle!$C$2</f>
        <v>20461.625671386719</v>
      </c>
      <c r="F32" s="21">
        <f>(Traffic!F32*Kanäle!$C$36)*Kanäle!$C$2</f>
        <v>27222.090148925781</v>
      </c>
      <c r="G32" s="21">
        <f>(Traffic!G32*Kanäle!$C$36)*Kanäle!$C$2</f>
        <v>33582.554626464844</v>
      </c>
      <c r="H32" s="21">
        <f>(Traffic!H32*Kanäle!$C$36)*Kanäle!$C$2</f>
        <v>41943.019104003906</v>
      </c>
      <c r="I32" s="20">
        <f>(Traffic!I32*Kanäle!$C$36)*Kanäle!$C$2</f>
        <v>49903.483581542969</v>
      </c>
      <c r="J32" s="20">
        <f>(Traffic!J32*Kanäle!$C$36)*Kanäle!$C$2</f>
        <v>57463.948059082031</v>
      </c>
      <c r="K32" s="20">
        <f>(Traffic!K32*Kanäle!$C$36)*Kanäle!$C$2</f>
        <v>67024.412536621094</v>
      </c>
      <c r="L32" s="21">
        <f>(Traffic!L32*Kanäle!$C$36)*Kanäle!$C$2</f>
        <v>76184.877014160156</v>
      </c>
      <c r="M32" s="21">
        <f>(Traffic!M32*Kanäle!$C$36)*Kanäle!$C$2</f>
        <v>84945.341491699219</v>
      </c>
      <c r="N32" s="21">
        <f>(Traffic!N32*Kanäle!$C$36)*Kanäle!$C$2</f>
        <v>95705.805969238281</v>
      </c>
      <c r="O32" s="18">
        <f t="shared" si="4"/>
        <v>575879.01611328125</v>
      </c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6.5" customHeight="1">
      <c r="A33" s="39"/>
      <c r="B33" s="22" t="s">
        <v>28</v>
      </c>
      <c r="C33" s="20">
        <f>(Traffic!C33*Kanäle!$B$2)*Kanäle!$C$2</f>
        <v>16940.022125244141</v>
      </c>
      <c r="D33" s="20">
        <f>(Traffic!D33*Kanäle!$B$2)*Kanäle!$C$2</f>
        <v>17567.96911239624</v>
      </c>
      <c r="E33" s="20">
        <f>(Traffic!E33*Kanäle!$B$2)*Kanäle!$C$2</f>
        <v>20200.007314682007</v>
      </c>
      <c r="F33" s="21">
        <f>(Traffic!F33*Kanäle!$B$2)*Kanäle!$C$2</f>
        <v>21061.545853614807</v>
      </c>
      <c r="G33" s="21">
        <f>(Traffic!G33*Kanäle!$B$2)*Kanäle!$C$2</f>
        <v>21958.534762859344</v>
      </c>
      <c r="H33" s="21">
        <f>(Traffic!H33*Kanäle!$B$2)*Kanäle!$C$2</f>
        <v>24877.519079446789</v>
      </c>
      <c r="I33" s="20">
        <f>(Traffic!I33*Kanäle!$B$2)*Kanäle!$C$2</f>
        <v>26045.698344111446</v>
      </c>
      <c r="J33" s="20">
        <f>(Traffic!J33*Kanäle!$B$2)*Kanäle!$C$2</f>
        <v>27270.992051661018</v>
      </c>
      <c r="K33" s="20">
        <f>(Traffic!K33*Kanäle!$B$2)*Kanäle!$C$2</f>
        <v>30542.111646384012</v>
      </c>
      <c r="L33" s="21">
        <f>(Traffic!L33*Kanäle!$B$2)*Kanäle!$C$2</f>
        <v>32088.63971699775</v>
      </c>
      <c r="M33" s="21">
        <f>(Traffic!M33*Kanäle!$B$2)*Kanäle!$C$2</f>
        <v>33721.117111091327</v>
      </c>
      <c r="N33" s="21">
        <f>(Traffic!N33*Kanäle!$B$2)*Kanäle!$C$2</f>
        <v>37431.13876101272</v>
      </c>
      <c r="O33" s="18">
        <f t="shared" si="4"/>
        <v>309705.29587950156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6.5" customHeight="1">
      <c r="A34" s="39"/>
      <c r="B34" s="45" t="s">
        <v>32</v>
      </c>
      <c r="C34" s="24">
        <f t="shared" ref="C34:O34" si="5">SUM(C25:C33)</f>
        <v>221498.32328796387</v>
      </c>
      <c r="D34" s="24">
        <f t="shared" si="5"/>
        <v>228368.03071975708</v>
      </c>
      <c r="E34" s="24">
        <f t="shared" si="5"/>
        <v>263749.95896339417</v>
      </c>
      <c r="F34" s="24">
        <f t="shared" si="5"/>
        <v>273520.33010005951</v>
      </c>
      <c r="G34" s="24">
        <f t="shared" si="5"/>
        <v>283540.98841905594</v>
      </c>
      <c r="H34" s="24">
        <f t="shared" si="5"/>
        <v>322259.96263861656</v>
      </c>
      <c r="I34" s="24">
        <f t="shared" si="5"/>
        <v>335572.0843487978</v>
      </c>
      <c r="J34" s="24">
        <f t="shared" si="5"/>
        <v>349359.66829866177</v>
      </c>
      <c r="K34" s="24">
        <f t="shared" si="5"/>
        <v>392093.26071217662</v>
      </c>
      <c r="L34" s="24">
        <f t="shared" si="5"/>
        <v>409692.46243570757</v>
      </c>
      <c r="M34" s="24">
        <f t="shared" si="5"/>
        <v>428066.83440025611</v>
      </c>
      <c r="N34" s="24">
        <f t="shared" si="5"/>
        <v>475716.89362992404</v>
      </c>
      <c r="O34" s="25">
        <f t="shared" si="5"/>
        <v>3983438.7979543707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6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6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6.5" customHeight="1">
      <c r="A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6.5" customHeight="1">
      <c r="A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6.5" customHeight="1">
      <c r="A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6.5" customHeight="1">
      <c r="A40" s="39"/>
      <c r="B40" s="78">
        <v>2024</v>
      </c>
      <c r="C40" s="48" t="s">
        <v>2</v>
      </c>
      <c r="D40" s="49"/>
      <c r="E40" s="49"/>
      <c r="F40" s="50" t="s">
        <v>3</v>
      </c>
      <c r="G40" s="51"/>
      <c r="H40" s="51"/>
      <c r="I40" s="48" t="s">
        <v>4</v>
      </c>
      <c r="J40" s="49"/>
      <c r="K40" s="49"/>
      <c r="L40" s="50" t="s">
        <v>5</v>
      </c>
      <c r="M40" s="51"/>
      <c r="N40" s="51"/>
      <c r="O40" s="54" t="s">
        <v>39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6.5" customHeight="1">
      <c r="A41" s="39"/>
      <c r="B41" s="79"/>
      <c r="C41" s="44" t="s">
        <v>7</v>
      </c>
      <c r="D41" s="24" t="s">
        <v>8</v>
      </c>
      <c r="E41" s="24" t="s">
        <v>9</v>
      </c>
      <c r="F41" s="45" t="s">
        <v>10</v>
      </c>
      <c r="G41" s="46" t="s">
        <v>11</v>
      </c>
      <c r="H41" s="46" t="s">
        <v>12</v>
      </c>
      <c r="I41" s="44" t="s">
        <v>13</v>
      </c>
      <c r="J41" s="24" t="s">
        <v>14</v>
      </c>
      <c r="K41" s="24" t="s">
        <v>15</v>
      </c>
      <c r="L41" s="45" t="s">
        <v>16</v>
      </c>
      <c r="M41" s="46" t="s">
        <v>17</v>
      </c>
      <c r="N41" s="46" t="s">
        <v>18</v>
      </c>
      <c r="O41" s="53" t="s">
        <v>32</v>
      </c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6.5" customHeight="1">
      <c r="A42" s="39"/>
      <c r="B42" s="47" t="s">
        <v>19</v>
      </c>
      <c r="C42" s="14">
        <f t="shared" ref="C42:N42" si="6">SUM(C43:C51)</f>
        <v>499707.63837065164</v>
      </c>
      <c r="D42" s="14">
        <f t="shared" si="6"/>
        <v>523091.27813468821</v>
      </c>
      <c r="E42" s="14">
        <f t="shared" si="6"/>
        <v>576122.53194379306</v>
      </c>
      <c r="F42" s="16">
        <f t="shared" si="6"/>
        <v>604791.16120247287</v>
      </c>
      <c r="G42" s="16">
        <f t="shared" si="6"/>
        <v>635083.90345568524</v>
      </c>
      <c r="H42" s="16">
        <f t="shared" si="6"/>
        <v>695586.17000288353</v>
      </c>
      <c r="I42" s="14">
        <f t="shared" si="6"/>
        <v>732343.91327346605</v>
      </c>
      <c r="J42" s="14">
        <f t="shared" si="6"/>
        <v>771405.68093977135</v>
      </c>
      <c r="K42" s="14">
        <f t="shared" si="6"/>
        <v>841424.87544137193</v>
      </c>
      <c r="L42" s="16">
        <f t="shared" si="6"/>
        <v>888522.23946179694</v>
      </c>
      <c r="M42" s="16">
        <f t="shared" si="6"/>
        <v>938828.58995292906</v>
      </c>
      <c r="N42" s="16">
        <f t="shared" si="6"/>
        <v>1021087.825561839</v>
      </c>
      <c r="O42" s="18">
        <f t="shared" ref="O42:O51" si="7">SUM(C42:N42)</f>
        <v>8727995.8077413496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6.5" customHeight="1">
      <c r="A43" s="39"/>
      <c r="B43" s="19" t="s">
        <v>37</v>
      </c>
      <c r="C43" s="20">
        <f>(Traffic!C43*Kanäle!$C$5)*Kanäle!$C$2</f>
        <v>154328.54955165551</v>
      </c>
      <c r="D43" s="20">
        <f>(Traffic!D43*Kanäle!$C$5)*Kanäle!$C$2</f>
        <v>169761.40450682107</v>
      </c>
      <c r="E43" s="20">
        <f>(Traffic!E43*Kanäle!$C$5)*Kanäle!$C$2</f>
        <v>186737.54495750318</v>
      </c>
      <c r="F43" s="21">
        <f>(Traffic!F43*Kanäle!$C$5)*Kanäle!$C$2</f>
        <v>205411.29945325351</v>
      </c>
      <c r="G43" s="21">
        <f>(Traffic!G43*Kanäle!$C$5)*Kanäle!$C$2</f>
        <v>225952.42939857888</v>
      </c>
      <c r="H43" s="21">
        <f>(Traffic!H43*Kanäle!$C$5)*Kanäle!$C$2</f>
        <v>248547.67233843682</v>
      </c>
      <c r="I43" s="20">
        <f>(Traffic!I43*Kanäle!$C$5)*Kanäle!$C$2</f>
        <v>273402.43957228051</v>
      </c>
      <c r="J43" s="20">
        <f>(Traffic!J43*Kanäle!$C$5)*Kanäle!$C$2</f>
        <v>300742.68352950859</v>
      </c>
      <c r="K43" s="20">
        <f>(Traffic!K43*Kanäle!$C$5)*Kanäle!$C$2</f>
        <v>330816.95188245946</v>
      </c>
      <c r="L43" s="21">
        <f>(Traffic!L43*Kanäle!$C$5)*Kanäle!$C$2</f>
        <v>363898.64707070542</v>
      </c>
      <c r="M43" s="21">
        <f>(Traffic!M43*Kanäle!$C$5)*Kanäle!$C$2</f>
        <v>400288.51177777594</v>
      </c>
      <c r="N43" s="21">
        <f>(Traffic!N43*Kanäle!$C$5)*Kanäle!$C$2</f>
        <v>440317.36295555363</v>
      </c>
      <c r="O43" s="18">
        <f t="shared" si="7"/>
        <v>3300205.4969945322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6.5" customHeight="1">
      <c r="A44" s="39"/>
      <c r="B44" s="19"/>
      <c r="C44" s="20">
        <v>0</v>
      </c>
      <c r="D44" s="20">
        <v>0</v>
      </c>
      <c r="E44" s="20">
        <v>0</v>
      </c>
      <c r="F44" s="21">
        <v>0</v>
      </c>
      <c r="G44" s="21">
        <v>0</v>
      </c>
      <c r="H44" s="21">
        <v>0</v>
      </c>
      <c r="I44" s="20">
        <v>0</v>
      </c>
      <c r="J44" s="20">
        <v>0</v>
      </c>
      <c r="K44" s="20">
        <v>0</v>
      </c>
      <c r="L44" s="21">
        <v>0</v>
      </c>
      <c r="M44" s="21">
        <v>0</v>
      </c>
      <c r="N44" s="21">
        <v>0</v>
      </c>
      <c r="O44" s="18">
        <f t="shared" si="7"/>
        <v>0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6.5" customHeight="1">
      <c r="A45" s="39"/>
      <c r="B45" s="19" t="s">
        <v>22</v>
      </c>
      <c r="C45" s="20">
        <f>(Traffic!C45*Kanäle!$C$13)*Kanäle!$C$2</f>
        <v>103604.64477539063</v>
      </c>
      <c r="D45" s="20">
        <f>(Traffic!D45*Kanäle!$C$13)*Kanäle!$C$2</f>
        <v>99604.644775390625</v>
      </c>
      <c r="E45" s="20">
        <f>(Traffic!E45*Kanäle!$C$13)*Kanäle!$C$2</f>
        <v>119604.64477539063</v>
      </c>
      <c r="F45" s="21">
        <f>(Traffic!F45*Kanäle!$C$13)*Kanäle!$C$2</f>
        <v>115604.64477539063</v>
      </c>
      <c r="G45" s="21">
        <f>(Traffic!G45*Kanäle!$C$13)*Kanäle!$C$2</f>
        <v>111604.64477539063</v>
      </c>
      <c r="H45" s="21">
        <f>(Traffic!H45*Kanäle!$C$13)*Kanäle!$C$2</f>
        <v>131604.64477539063</v>
      </c>
      <c r="I45" s="20">
        <f>(Traffic!I45*Kanäle!$C$13)*Kanäle!$C$2</f>
        <v>127604.64477539063</v>
      </c>
      <c r="J45" s="20">
        <f>(Traffic!J45*Kanäle!$C$13)*Kanäle!$C$2</f>
        <v>123604.64477539063</v>
      </c>
      <c r="K45" s="20">
        <f>(Traffic!K45*Kanäle!$C$13)*Kanäle!$C$2</f>
        <v>143604.64477539063</v>
      </c>
      <c r="L45" s="21">
        <f>(Traffic!L45*Kanäle!$C$13)*Kanäle!$C$2</f>
        <v>139604.64477539063</v>
      </c>
      <c r="M45" s="21">
        <f>(Traffic!M45*Kanäle!$C$13)*Kanäle!$C$2</f>
        <v>135604.64477539063</v>
      </c>
      <c r="N45" s="21">
        <f>(Traffic!N45*Kanäle!$C$13)*Kanäle!$C$2</f>
        <v>155604.64477539063</v>
      </c>
      <c r="O45" s="18">
        <f t="shared" si="7"/>
        <v>1507255.7373046875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6.5" customHeight="1">
      <c r="A46" s="39"/>
      <c r="B46" s="19" t="s">
        <v>23</v>
      </c>
      <c r="C46" s="20">
        <f>(Traffic!C46*Kanäle!$C$17)*Kanäle!$C$2</f>
        <v>36000</v>
      </c>
      <c r="D46" s="20">
        <f>(Traffic!D46*Kanäle!$C$17)*Kanäle!$C$2</f>
        <v>36000</v>
      </c>
      <c r="E46" s="20">
        <f>(Traffic!E46*Kanäle!$C$17)*Kanäle!$C$2</f>
        <v>36000</v>
      </c>
      <c r="F46" s="21">
        <f>(Traffic!F46*Kanäle!$C$17)*Kanäle!$C$2</f>
        <v>36000</v>
      </c>
      <c r="G46" s="21">
        <f>(Traffic!G46*Kanäle!$C$17)*Kanäle!$C$2</f>
        <v>36000</v>
      </c>
      <c r="H46" s="21">
        <f>(Traffic!H46*Kanäle!$C$17)*Kanäle!$C$2</f>
        <v>36000</v>
      </c>
      <c r="I46" s="20">
        <f>(Traffic!I46*Kanäle!$C$17)*Kanäle!$C$2</f>
        <v>36000</v>
      </c>
      <c r="J46" s="20">
        <f>(Traffic!J46*Kanäle!$C$17)*Kanäle!$C$2</f>
        <v>36000</v>
      </c>
      <c r="K46" s="20">
        <f>(Traffic!K46*Kanäle!$C$17)*Kanäle!$C$2</f>
        <v>36000</v>
      </c>
      <c r="L46" s="21">
        <f>(Traffic!L46*Kanäle!$C$17)*Kanäle!$C$2</f>
        <v>36000</v>
      </c>
      <c r="M46" s="21">
        <f>(Traffic!M46*Kanäle!$C$17)*Kanäle!$C$2</f>
        <v>36000</v>
      </c>
      <c r="N46" s="21">
        <f>(Traffic!N46*Kanäle!$C$17)*Kanäle!$C$2</f>
        <v>36000</v>
      </c>
      <c r="O46" s="18">
        <f t="shared" si="7"/>
        <v>432000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6.5" customHeight="1">
      <c r="A47" s="39"/>
      <c r="B47" s="19" t="s">
        <v>24</v>
      </c>
      <c r="C47" s="20">
        <f>(Traffic!C47*Kanäle!$C$22)*Kanäle!$C$2</f>
        <v>36000</v>
      </c>
      <c r="D47" s="20">
        <f>(Traffic!D47*Kanäle!$C$22)*Kanäle!$C$2</f>
        <v>36000</v>
      </c>
      <c r="E47" s="20">
        <f>(Traffic!E47*Kanäle!$C$22)*Kanäle!$C$2</f>
        <v>36000</v>
      </c>
      <c r="F47" s="21">
        <f>(Traffic!F47*Kanäle!$C$22)*Kanäle!$C$2</f>
        <v>36000</v>
      </c>
      <c r="G47" s="21">
        <f>(Traffic!G47*Kanäle!$C$22)*Kanäle!$C$2</f>
        <v>36000</v>
      </c>
      <c r="H47" s="21">
        <f>(Traffic!H47*Kanäle!$C$22)*Kanäle!$C$2</f>
        <v>36000</v>
      </c>
      <c r="I47" s="20">
        <f>(Traffic!I47*Kanäle!$C$22)*Kanäle!$C$2</f>
        <v>36000</v>
      </c>
      <c r="J47" s="20">
        <f>(Traffic!J47*Kanäle!$C$22)*Kanäle!$C$2</f>
        <v>36000</v>
      </c>
      <c r="K47" s="20">
        <f>(Traffic!K47*Kanäle!$C$22)*Kanäle!$C$2</f>
        <v>36000</v>
      </c>
      <c r="L47" s="21">
        <f>(Traffic!L47*Kanäle!$C$22)*Kanäle!$C$2</f>
        <v>36000</v>
      </c>
      <c r="M47" s="21">
        <f>(Traffic!M47*Kanäle!$C$22)*Kanäle!$C$2</f>
        <v>36000</v>
      </c>
      <c r="N47" s="21">
        <f>(Traffic!N47*Kanäle!$C$22)*Kanäle!$C$2</f>
        <v>36000</v>
      </c>
      <c r="O47" s="18">
        <f t="shared" si="7"/>
        <v>432000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6.5" customHeight="1">
      <c r="A48" s="39"/>
      <c r="B48" s="19" t="s">
        <v>25</v>
      </c>
      <c r="C48" s="20">
        <f>(Traffic!C48*Kanäle!$C$27)*Kanäle!$C$2</f>
        <v>18000</v>
      </c>
      <c r="D48" s="20">
        <f>(Traffic!D48*Kanäle!$C$27)*Kanäle!$C$2</f>
        <v>18000</v>
      </c>
      <c r="E48" s="20">
        <f>(Traffic!E48*Kanäle!$C$27)*Kanäle!$C$2</f>
        <v>18000</v>
      </c>
      <c r="F48" s="21">
        <f>(Traffic!F48*Kanäle!$C$27)*Kanäle!$C$2</f>
        <v>18000</v>
      </c>
      <c r="G48" s="21">
        <f>(Traffic!G48*Kanäle!$C$27)*Kanäle!$C$2</f>
        <v>18000</v>
      </c>
      <c r="H48" s="21">
        <f>(Traffic!H48*Kanäle!$C$27)*Kanäle!$C$2</f>
        <v>18000</v>
      </c>
      <c r="I48" s="20">
        <f>(Traffic!I48*Kanäle!$C$27)*Kanäle!$C$2</f>
        <v>18000</v>
      </c>
      <c r="J48" s="20">
        <f>(Traffic!J48*Kanäle!$C$27)*Kanäle!$C$2</f>
        <v>18000</v>
      </c>
      <c r="K48" s="20">
        <f>(Traffic!K48*Kanäle!$C$27)*Kanäle!$C$2</f>
        <v>18000</v>
      </c>
      <c r="L48" s="21">
        <f>(Traffic!L48*Kanäle!$C$27)*Kanäle!$C$2</f>
        <v>18000</v>
      </c>
      <c r="M48" s="21">
        <f>(Traffic!M48*Kanäle!$C$27)*Kanäle!$C$2</f>
        <v>18000</v>
      </c>
      <c r="N48" s="21">
        <f>(Traffic!N48*Kanäle!$C$27)*Kanäle!$C$2</f>
        <v>18000</v>
      </c>
      <c r="O48" s="18">
        <f t="shared" si="7"/>
        <v>216000</v>
      </c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6.5" customHeight="1">
      <c r="A49" s="39"/>
      <c r="B49" s="19" t="s">
        <v>26</v>
      </c>
      <c r="C49" s="20">
        <f>(Traffic!C49*Kanäle!$C$32)*Kanäle!$C$2</f>
        <v>6000</v>
      </c>
      <c r="D49" s="20">
        <f>(Traffic!D49*Kanäle!$C$32)*Kanäle!$C$2</f>
        <v>6000</v>
      </c>
      <c r="E49" s="20">
        <f>(Traffic!E49*Kanäle!$C$32)*Kanäle!$C$2</f>
        <v>6000</v>
      </c>
      <c r="F49" s="21">
        <f>(Traffic!F49*Kanäle!$C$32)*Kanäle!$C$2</f>
        <v>6000</v>
      </c>
      <c r="G49" s="21">
        <f>(Traffic!G49*Kanäle!$C$32)*Kanäle!$C$2</f>
        <v>6000</v>
      </c>
      <c r="H49" s="21">
        <f>(Traffic!H49*Kanäle!$C$32)*Kanäle!$C$2</f>
        <v>6000</v>
      </c>
      <c r="I49" s="20">
        <f>(Traffic!I49*Kanäle!$C$32)*Kanäle!$C$2</f>
        <v>6000</v>
      </c>
      <c r="J49" s="20">
        <f>(Traffic!J49*Kanäle!$C$32)*Kanäle!$C$2</f>
        <v>6000</v>
      </c>
      <c r="K49" s="20">
        <f>(Traffic!K49*Kanäle!$C$32)*Kanäle!$C$2</f>
        <v>6000</v>
      </c>
      <c r="L49" s="21">
        <f>(Traffic!L49*Kanäle!$C$32)*Kanäle!$C$2</f>
        <v>6000</v>
      </c>
      <c r="M49" s="21">
        <f>(Traffic!M49*Kanäle!$C$32)*Kanäle!$C$2</f>
        <v>6000</v>
      </c>
      <c r="N49" s="21">
        <f>(Traffic!N49*Kanäle!$C$32)*Kanäle!$C$2</f>
        <v>6000</v>
      </c>
      <c r="O49" s="18">
        <f t="shared" si="7"/>
        <v>72000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6.5" customHeight="1">
      <c r="A50" s="39"/>
      <c r="B50" s="19" t="s">
        <v>27</v>
      </c>
      <c r="C50" s="20">
        <f>(Traffic!C50*Kanäle!$C$36)*Kanäle!$C$2</f>
        <v>106066.27044677734</v>
      </c>
      <c r="D50" s="20">
        <f>(Traffic!D50*Kanäle!$C$36)*Kanäle!$C$2</f>
        <v>116026.73492431641</v>
      </c>
      <c r="E50" s="20">
        <f>(Traffic!E50*Kanäle!$C$36)*Kanäle!$C$2</f>
        <v>127987.19940185547</v>
      </c>
      <c r="F50" s="21">
        <f>(Traffic!F50*Kanäle!$C$36)*Kanäle!$C$2</f>
        <v>139547.66387939453</v>
      </c>
      <c r="G50" s="21">
        <f>(Traffic!G50*Kanäle!$C$36)*Kanäle!$C$2</f>
        <v>150708.12835693359</v>
      </c>
      <c r="H50" s="21">
        <f>(Traffic!H50*Kanäle!$C$36)*Kanäle!$C$2</f>
        <v>163868.59283447266</v>
      </c>
      <c r="I50" s="20">
        <f>(Traffic!I50*Kanäle!$C$36)*Kanäle!$C$2</f>
        <v>176629.05731201172</v>
      </c>
      <c r="J50" s="20">
        <f>(Traffic!J50*Kanäle!$C$36)*Kanäle!$C$2</f>
        <v>188989.52178955078</v>
      </c>
      <c r="K50" s="20">
        <f>(Traffic!K50*Kanäle!$C$36)*Kanäle!$C$2</f>
        <v>203349.98626708984</v>
      </c>
      <c r="L50" s="21">
        <f>(Traffic!L50*Kanäle!$C$36)*Kanäle!$C$2</f>
        <v>217310.45074462891</v>
      </c>
      <c r="M50" s="21">
        <f>(Traffic!M50*Kanäle!$C$36)*Kanäle!$C$2</f>
        <v>230870.91522216797</v>
      </c>
      <c r="N50" s="21">
        <f>(Traffic!N50*Kanäle!$C$36)*Kanäle!$C$2</f>
        <v>246431.37969970703</v>
      </c>
      <c r="O50" s="18">
        <f t="shared" si="7"/>
        <v>2067785.9008789063</v>
      </c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6.5" customHeight="1">
      <c r="A51" s="39"/>
      <c r="B51" s="22" t="s">
        <v>28</v>
      </c>
      <c r="C51" s="20">
        <f>(Traffic!C51*Kanäle!$B$2)*Kanäle!$C$2</f>
        <v>39708.17359682815</v>
      </c>
      <c r="D51" s="20">
        <f>(Traffic!D51*Kanäle!$B$2)*Kanäle!$C$2</f>
        <v>41698.493928160133</v>
      </c>
      <c r="E51" s="20">
        <f>(Traffic!E51*Kanäle!$B$2)*Kanäle!$C$2</f>
        <v>45793.142809043784</v>
      </c>
      <c r="F51" s="21">
        <f>(Traffic!F51*Kanäle!$B$2)*Kanäle!$C$2</f>
        <v>48227.553094434246</v>
      </c>
      <c r="G51" s="21">
        <f>(Traffic!G51*Kanäle!$B$2)*Kanäle!$C$2</f>
        <v>50818.700924782221</v>
      </c>
      <c r="H51" s="21">
        <f>(Traffic!H51*Kanäle!$B$2)*Kanäle!$C$2</f>
        <v>55565.260054583428</v>
      </c>
      <c r="I51" s="20">
        <f>(Traffic!I51*Kanäle!$B$2)*Kanäle!$C$2</f>
        <v>58707.771613783232</v>
      </c>
      <c r="J51" s="20">
        <f>(Traffic!J51*Kanäle!$B$2)*Kanäle!$C$2</f>
        <v>62068.830845321463</v>
      </c>
      <c r="K51" s="20">
        <f>(Traffic!K51*Kanäle!$B$2)*Kanäle!$C$2</f>
        <v>67653.292516431989</v>
      </c>
      <c r="L51" s="21">
        <f>(Traffic!L51*Kanäle!$B$2)*Kanäle!$C$2</f>
        <v>71708.496871071999</v>
      </c>
      <c r="M51" s="21">
        <f>(Traffic!M51*Kanäle!$B$2)*Kanäle!$C$2</f>
        <v>76064.518177594495</v>
      </c>
      <c r="N51" s="21">
        <f>(Traffic!N51*Kanäle!$B$2)*Kanäle!$C$2</f>
        <v>82734.438131187693</v>
      </c>
      <c r="O51" s="18">
        <f t="shared" si="7"/>
        <v>700748.67256322294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6.5" customHeight="1">
      <c r="A52" s="39"/>
      <c r="B52" s="45" t="s">
        <v>32</v>
      </c>
      <c r="C52" s="24">
        <f t="shared" ref="C52:O52" si="8">SUM(C43:C51)</f>
        <v>499707.63837065164</v>
      </c>
      <c r="D52" s="24">
        <f t="shared" si="8"/>
        <v>523091.27813468821</v>
      </c>
      <c r="E52" s="24">
        <f t="shared" si="8"/>
        <v>576122.53194379306</v>
      </c>
      <c r="F52" s="24">
        <f t="shared" si="8"/>
        <v>604791.16120247287</v>
      </c>
      <c r="G52" s="24">
        <f t="shared" si="8"/>
        <v>635083.90345568524</v>
      </c>
      <c r="H52" s="24">
        <f t="shared" si="8"/>
        <v>695586.17000288353</v>
      </c>
      <c r="I52" s="24">
        <f t="shared" si="8"/>
        <v>732343.91327346605</v>
      </c>
      <c r="J52" s="24">
        <f t="shared" si="8"/>
        <v>771405.68093977135</v>
      </c>
      <c r="K52" s="24">
        <f t="shared" si="8"/>
        <v>841424.87544137193</v>
      </c>
      <c r="L52" s="24">
        <f t="shared" si="8"/>
        <v>888522.23946179694</v>
      </c>
      <c r="M52" s="24">
        <f t="shared" si="8"/>
        <v>938828.58995292906</v>
      </c>
      <c r="N52" s="24">
        <f t="shared" si="8"/>
        <v>1021087.825561839</v>
      </c>
      <c r="O52" s="25">
        <f t="shared" si="8"/>
        <v>8727995.8077413496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6.5" customHeight="1">
      <c r="A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6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6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6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6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6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6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6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6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6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6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6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6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6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6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6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6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6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6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6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6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6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6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6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6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6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6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6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6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6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6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6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6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6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6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6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6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6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6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6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6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6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6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6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6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6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6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6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6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6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6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6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6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6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6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6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6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6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6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6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6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6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6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6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6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6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6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6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6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6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6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6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6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6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6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6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6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6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6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6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6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6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6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6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6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6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6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6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6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6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6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6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6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6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6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6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6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6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6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6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6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6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6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6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6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6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6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6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6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6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6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6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6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6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6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6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6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6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6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6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6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6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6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6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6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6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6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6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6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6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6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6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6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6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6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6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6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6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6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6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6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6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6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6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6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6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6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6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6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6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6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6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6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6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6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6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6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6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6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6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6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6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6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6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6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6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6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6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6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6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6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6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6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6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6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6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6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6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6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6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6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6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6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6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6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6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6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6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6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6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6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6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6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6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6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6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6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6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6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6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6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6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6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6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6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6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6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6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6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6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6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6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6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6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6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6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6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6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6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6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6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6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6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6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6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6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6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6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6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6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6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6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6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6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6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6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6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6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6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6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6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6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6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6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6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6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6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6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6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6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6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6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6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6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6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6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6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6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6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6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6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6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6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6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6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6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6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6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6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6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6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6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6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6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6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6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6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6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6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6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6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6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6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6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6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6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6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6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6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6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6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6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6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6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6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6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6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6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6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6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6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6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6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6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6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6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6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6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6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6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6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6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6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6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6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6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6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6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6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6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6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6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6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6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6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6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6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6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6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6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6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6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6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6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6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6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6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6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6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6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6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6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6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6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6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6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6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6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6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6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6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6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6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6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6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6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6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6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6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6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6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6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6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6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6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6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6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6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6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6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6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6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6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6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6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6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6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6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6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6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6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6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6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6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6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6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6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6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6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6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6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6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6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6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6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6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6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6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6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6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6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6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6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6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6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6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6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6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6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6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6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6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6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6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6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6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6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6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6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6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6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6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6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6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6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6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6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6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6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6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6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6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6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6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6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6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6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6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6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6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6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6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6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6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6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6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6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6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6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6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6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6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6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6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6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6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6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6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6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6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6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6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6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6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6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6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6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6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6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6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6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6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6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6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6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6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6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6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6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6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6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6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6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6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6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6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6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6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6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6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6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6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6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6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6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6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6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6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6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6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6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6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6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6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6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6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6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6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6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6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6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6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6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6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6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6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6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6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6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6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6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6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6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6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6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6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6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6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6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6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6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6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6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6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6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6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6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6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6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6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6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6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6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6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6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6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6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6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6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6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6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6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6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6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6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6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6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6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6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6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6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6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6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6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6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6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6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6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6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6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6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6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6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6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6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6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6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6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6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6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6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6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6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6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6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6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6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6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6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6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6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6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6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6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6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6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6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6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6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6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6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6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6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6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6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6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6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6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6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6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6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6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6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6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6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6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6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6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6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6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6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6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6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6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6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6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6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6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6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6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6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6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6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6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6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6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6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6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6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6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6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6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6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6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6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6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6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6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6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6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6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6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6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6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6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6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6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6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6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6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6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6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6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6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6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6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6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6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6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6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6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6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6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6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6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6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6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6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6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6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6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6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6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6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6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6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6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6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6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6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6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6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6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6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6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6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6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6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6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6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6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6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6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6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6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6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6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6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6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6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6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6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6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6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6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6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6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6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6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6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6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6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6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6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6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6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6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6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6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6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6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6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6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6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6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6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6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6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6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6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6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6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6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6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6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6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6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6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6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6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6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6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6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6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6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6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6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6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6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6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6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6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6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6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6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6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6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6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6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6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6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6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6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6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6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6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6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6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6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6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6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6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6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6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6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6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6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6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6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6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6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6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6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6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6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6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6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6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6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6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6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6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6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6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6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6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6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6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6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6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6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6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6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6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6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6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6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6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6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6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6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6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6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6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6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6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6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6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6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6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6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6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6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6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6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6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6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6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6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6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6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6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6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6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6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6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6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6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6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6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6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6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6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6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6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6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6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6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6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6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6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6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6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6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6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6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6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6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6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6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6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6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6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6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6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6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6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6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6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6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6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6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6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6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6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6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6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6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6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6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6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6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6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6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6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6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6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6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6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6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6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6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6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6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6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6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6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6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6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6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6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6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6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6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6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6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6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6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6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6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6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6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6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6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6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6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6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6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6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6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6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6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6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6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6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6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6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6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6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</sheetData>
  <mergeCells count="9">
    <mergeCell ref="F4:H4"/>
    <mergeCell ref="I4:K4"/>
    <mergeCell ref="L4:N4"/>
    <mergeCell ref="O4:O5"/>
    <mergeCell ref="B22:B23"/>
    <mergeCell ref="B40:B41"/>
    <mergeCell ref="B1:D2"/>
    <mergeCell ref="B4:B5"/>
    <mergeCell ref="C4:E4"/>
  </mergeCells>
  <pageMargins left="0.7" right="0.7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P991"/>
  <sheetViews>
    <sheetView workbookViewId="0"/>
  </sheetViews>
  <sheetFormatPr baseColWidth="10" defaultColWidth="11.25" defaultRowHeight="15" customHeight="1"/>
  <cols>
    <col min="1" max="1" width="1.3125" customWidth="1"/>
    <col min="2" max="2" width="23.75" customWidth="1"/>
    <col min="3" max="14" width="11.3125" customWidth="1"/>
    <col min="15" max="15" width="17.125" customWidth="1"/>
    <col min="16" max="16" width="9.4375" customWidth="1"/>
    <col min="17" max="26" width="8.3125" customWidth="1"/>
  </cols>
  <sheetData>
    <row r="1" spans="2:16" ht="16.5" customHeight="1">
      <c r="B1" s="76" t="s">
        <v>41</v>
      </c>
      <c r="C1" s="77"/>
      <c r="D1" s="77"/>
    </row>
    <row r="2" spans="2:16" ht="16.5" customHeight="1">
      <c r="B2" s="77"/>
      <c r="C2" s="77"/>
      <c r="D2" s="77"/>
      <c r="E2" s="3"/>
      <c r="F2" s="3"/>
      <c r="G2" s="3"/>
      <c r="H2" s="3"/>
      <c r="I2" s="3"/>
      <c r="J2" s="3"/>
      <c r="K2" s="3"/>
      <c r="L2" s="3"/>
      <c r="M2" s="3"/>
      <c r="N2" s="4"/>
      <c r="O2" s="5"/>
    </row>
    <row r="3" spans="2:16" ht="16.5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</row>
    <row r="4" spans="2:16" ht="16.5" customHeight="1">
      <c r="B4" s="78">
        <v>2022</v>
      </c>
      <c r="C4" s="89" t="s">
        <v>2</v>
      </c>
      <c r="D4" s="81"/>
      <c r="E4" s="81"/>
      <c r="F4" s="90" t="s">
        <v>3</v>
      </c>
      <c r="G4" s="81"/>
      <c r="H4" s="81"/>
      <c r="I4" s="89" t="s">
        <v>4</v>
      </c>
      <c r="J4" s="81"/>
      <c r="K4" s="81"/>
      <c r="L4" s="90" t="s">
        <v>5</v>
      </c>
      <c r="M4" s="81"/>
      <c r="N4" s="81"/>
      <c r="O4" s="91" t="s">
        <v>42</v>
      </c>
    </row>
    <row r="5" spans="2:16" ht="16.5" customHeight="1">
      <c r="B5" s="79"/>
      <c r="C5" s="44" t="s">
        <v>7</v>
      </c>
      <c r="D5" s="24" t="s">
        <v>8</v>
      </c>
      <c r="E5" s="24" t="s">
        <v>9</v>
      </c>
      <c r="F5" s="45" t="s">
        <v>10</v>
      </c>
      <c r="G5" s="46" t="s">
        <v>11</v>
      </c>
      <c r="H5" s="46" t="s">
        <v>12</v>
      </c>
      <c r="I5" s="44" t="s">
        <v>13</v>
      </c>
      <c r="J5" s="24" t="s">
        <v>14</v>
      </c>
      <c r="K5" s="24" t="s">
        <v>15</v>
      </c>
      <c r="L5" s="45" t="s">
        <v>16</v>
      </c>
      <c r="M5" s="46" t="s">
        <v>17</v>
      </c>
      <c r="N5" s="46" t="s">
        <v>18</v>
      </c>
      <c r="O5" s="79"/>
    </row>
    <row r="6" spans="2:16" ht="16.5" customHeight="1">
      <c r="B6" s="13" t="s">
        <v>19</v>
      </c>
      <c r="C6" s="14">
        <f t="shared" ref="C6:N6" si="0">SUM(C7:C15)</f>
        <v>0</v>
      </c>
      <c r="D6" s="14">
        <f t="shared" si="0"/>
        <v>0</v>
      </c>
      <c r="E6" s="14">
        <f t="shared" si="0"/>
        <v>5386.2068965517237</v>
      </c>
      <c r="F6" s="16">
        <f t="shared" si="0"/>
        <v>7263.0517241379312</v>
      </c>
      <c r="G6" s="16">
        <f t="shared" si="0"/>
        <v>9132.3405172413768</v>
      </c>
      <c r="H6" s="16">
        <f t="shared" si="0"/>
        <v>11468.951508620688</v>
      </c>
      <c r="I6" s="14">
        <f t="shared" si="0"/>
        <v>14500.841325431034</v>
      </c>
      <c r="J6" s="14">
        <f t="shared" si="0"/>
        <v>18179.577518857754</v>
      </c>
      <c r="K6" s="14">
        <f t="shared" si="0"/>
        <v>20922.80623653017</v>
      </c>
      <c r="L6" s="16">
        <f t="shared" si="0"/>
        <v>23526.023062870416</v>
      </c>
      <c r="M6" s="16">
        <f t="shared" si="0"/>
        <v>30711.054690656991</v>
      </c>
      <c r="N6" s="16">
        <f t="shared" si="0"/>
        <v>39692.34422539021</v>
      </c>
      <c r="O6" s="18">
        <f t="shared" ref="O6:O15" si="1">SUM(C6:N6)</f>
        <v>180783.19770628828</v>
      </c>
    </row>
    <row r="7" spans="2:16" ht="16.5" customHeight="1">
      <c r="B7" s="19" t="s">
        <v>37</v>
      </c>
      <c r="C7" s="20">
        <f>(Umsatz!C7*Kanäle!$D$2)-'Digital Marketing Budget'!C7-'Digital Marketing Budget'!C8</f>
        <v>0</v>
      </c>
      <c r="D7" s="20">
        <f>(Umsatz!D7*Kanäle!$D$2)-'Digital Marketing Budget'!D7-'Digital Marketing Budget'!D8</f>
        <v>0</v>
      </c>
      <c r="E7" s="20">
        <f>(Umsatz!E7*Kanäle!$D$2)-'Digital Marketing Budget'!E7-'Digital Marketing Budget'!E8</f>
        <v>2275.8620689655172</v>
      </c>
      <c r="F7" s="21">
        <f>(Umsatz!F7*Kanäle!$D$2)-'Digital Marketing Budget'!F7-'Digital Marketing Budget'!F8</f>
        <v>2844.8275862068963</v>
      </c>
      <c r="G7" s="21">
        <f>(Umsatz!G7*Kanäle!$D$2)-'Digital Marketing Budget'!G7-'Digital Marketing Budget'!G8</f>
        <v>3556.0344827586205</v>
      </c>
      <c r="H7" s="21">
        <f>(Umsatz!H7*Kanäle!$D$2)-'Digital Marketing Budget'!H7-'Digital Marketing Budget'!H8</f>
        <v>4445.0431034482754</v>
      </c>
      <c r="I7" s="20">
        <f>(Umsatz!I7*Kanäle!$D$2)-'Digital Marketing Budget'!I7-'Digital Marketing Budget'!I8</f>
        <v>5556.3038793103442</v>
      </c>
      <c r="J7" s="20">
        <f>(Umsatz!J7*Kanäle!$D$2)-'Digital Marketing Budget'!J7-'Digital Marketing Budget'!J8</f>
        <v>6945.3798491379303</v>
      </c>
      <c r="K7" s="20">
        <f>(Umsatz!K7*Kanäle!$D$2)-'Digital Marketing Budget'!K7-'Digital Marketing Budget'!K8</f>
        <v>8681.724811422413</v>
      </c>
      <c r="L7" s="21">
        <f>(Umsatz!L7*Kanäle!$D$2)-'Digital Marketing Budget'!L7-'Digital Marketing Budget'!L8</f>
        <v>5852.1560142780163</v>
      </c>
      <c r="M7" s="21">
        <f>(Umsatz!M7*Kanäle!$D$2)-'Digital Marketing Budget'!M7-'Digital Marketing Budget'!M8</f>
        <v>8565.1950178475217</v>
      </c>
      <c r="N7" s="21">
        <f>(Umsatz!N7*Kanäle!$D$2)-'Digital Marketing Budget'!N7-'Digital Marketing Budget'!N8</f>
        <v>11956.493772309401</v>
      </c>
      <c r="O7" s="18">
        <f t="shared" si="1"/>
        <v>60679.020585684935</v>
      </c>
      <c r="P7" s="55"/>
    </row>
    <row r="8" spans="2:16" ht="16.5" customHeight="1">
      <c r="B8" s="19"/>
      <c r="C8" s="20">
        <v>0</v>
      </c>
      <c r="D8" s="20">
        <v>0</v>
      </c>
      <c r="E8" s="20">
        <v>0</v>
      </c>
      <c r="F8" s="21">
        <v>0</v>
      </c>
      <c r="G8" s="21">
        <v>0</v>
      </c>
      <c r="H8" s="21">
        <v>0</v>
      </c>
      <c r="I8" s="20">
        <v>0</v>
      </c>
      <c r="J8" s="20">
        <v>0</v>
      </c>
      <c r="K8" s="20">
        <v>0</v>
      </c>
      <c r="L8" s="21">
        <v>0</v>
      </c>
      <c r="M8" s="21">
        <v>0</v>
      </c>
      <c r="N8" s="21">
        <v>0</v>
      </c>
      <c r="O8" s="18">
        <f t="shared" si="1"/>
        <v>0</v>
      </c>
      <c r="P8" s="55"/>
    </row>
    <row r="9" spans="2:16" ht="16.5" customHeight="1">
      <c r="B9" s="19" t="s">
        <v>22</v>
      </c>
      <c r="C9" s="20">
        <f>Umsatz!C9*Kanäle!$D$2-'Digital Marketing Budget'!C9</f>
        <v>0</v>
      </c>
      <c r="D9" s="20">
        <f>Umsatz!D9*Kanäle!$D$2-'Digital Marketing Budget'!D9</f>
        <v>0</v>
      </c>
      <c r="E9" s="20">
        <f>Umsatz!E9*Kanäle!$D$2-'Digital Marketing Budget'!E9</f>
        <v>3034.4827586206893</v>
      </c>
      <c r="F9" s="21">
        <f>Umsatz!F9*Kanäle!$D$2-'Digital Marketing Budget'!F9</f>
        <v>3793.1034482758619</v>
      </c>
      <c r="G9" s="21">
        <f>Umsatz!G9*Kanäle!$D$2-'Digital Marketing Budget'!G9</f>
        <v>4741.379310344827</v>
      </c>
      <c r="H9" s="21">
        <f>Umsatz!H9*Kanäle!$D$2-'Digital Marketing Budget'!H9</f>
        <v>5926.7241379310344</v>
      </c>
      <c r="I9" s="20">
        <f>Umsatz!I9*Kanäle!$D$2-'Digital Marketing Budget'!I9</f>
        <v>7408.4051724137926</v>
      </c>
      <c r="J9" s="20">
        <f>Umsatz!J9*Kanäle!$D$2-'Digital Marketing Budget'!J9</f>
        <v>9260.5064655172409</v>
      </c>
      <c r="K9" s="20">
        <f>Umsatz!K9*Kanäle!$D$2-'Digital Marketing Budget'!K9</f>
        <v>11575.633081896551</v>
      </c>
      <c r="L9" s="21">
        <f>Umsatz!L9*Kanäle!$D$2-'Digital Marketing Budget'!L9</f>
        <v>14469.541352370688</v>
      </c>
      <c r="M9" s="21">
        <f>Umsatz!M9*Kanäle!$D$2-'Digital Marketing Budget'!M9</f>
        <v>18086.926690463362</v>
      </c>
      <c r="N9" s="21">
        <f>Umsatz!N9*Kanäle!$D$2-'Digital Marketing Budget'!N9</f>
        <v>22608.658363079201</v>
      </c>
      <c r="O9" s="18">
        <f t="shared" si="1"/>
        <v>100905.36078091325</v>
      </c>
      <c r="P9" s="55"/>
    </row>
    <row r="10" spans="2:16" ht="16.5" customHeight="1">
      <c r="B10" s="19" t="s">
        <v>23</v>
      </c>
      <c r="C10" s="20">
        <f>(Umsatz!C10*Kanäle!$D$2)-'Digital Marketing Budget'!C10</f>
        <v>0</v>
      </c>
      <c r="D10" s="20">
        <f>(Umsatz!D10*Kanäle!$D$2)-'Digital Marketing Budget'!D10</f>
        <v>0</v>
      </c>
      <c r="E10" s="20">
        <f>(Umsatz!E10*Kanäle!$D$2)-'Digital Marketing Budget'!E10</f>
        <v>0</v>
      </c>
      <c r="F10" s="21">
        <f>(Umsatz!F10*Kanäle!$D$2)-'Digital Marketing Budget'!F10</f>
        <v>0</v>
      </c>
      <c r="G10" s="21">
        <f>(Umsatz!G10*Kanäle!$D$2)-'Digital Marketing Budget'!G10</f>
        <v>0</v>
      </c>
      <c r="H10" s="21">
        <f>(Umsatz!H10*Kanäle!$D$2)-'Digital Marketing Budget'!H10</f>
        <v>0</v>
      </c>
      <c r="I10" s="20">
        <f>(Umsatz!I10*Kanäle!$D$2)-'Digital Marketing Budget'!I10</f>
        <v>0</v>
      </c>
      <c r="J10" s="20">
        <f>(Umsatz!J10*Kanäle!$D$2)-'Digital Marketing Budget'!J10</f>
        <v>0</v>
      </c>
      <c r="K10" s="20">
        <f>(Umsatz!K10*Kanäle!$D$2)-'Digital Marketing Budget'!K10</f>
        <v>0</v>
      </c>
      <c r="L10" s="21">
        <f>(Umsatz!L10*Kanäle!$D$2)-'Digital Marketing Budget'!L10</f>
        <v>0</v>
      </c>
      <c r="M10" s="21">
        <f>(Umsatz!M10*Kanäle!$D$2)-'Digital Marketing Budget'!M10</f>
        <v>0</v>
      </c>
      <c r="N10" s="21">
        <f>(Umsatz!N10*Kanäle!$D$2)-'Digital Marketing Budget'!N10</f>
        <v>0</v>
      </c>
      <c r="O10" s="18">
        <f t="shared" si="1"/>
        <v>0</v>
      </c>
      <c r="P10" s="55"/>
    </row>
    <row r="11" spans="2:16" ht="16.5" customHeight="1">
      <c r="B11" s="19" t="s">
        <v>24</v>
      </c>
      <c r="C11" s="20">
        <f>Umsatz!C11*Kanäle!$D$2-'Digital Marketing Budget'!C11</f>
        <v>0</v>
      </c>
      <c r="D11" s="20">
        <f>Umsatz!D11*Kanäle!$D$2-'Digital Marketing Budget'!D11</f>
        <v>0</v>
      </c>
      <c r="E11" s="20">
        <f>Umsatz!E11*Kanäle!$D$2-'Digital Marketing Budget'!E11</f>
        <v>0</v>
      </c>
      <c r="F11" s="21">
        <f>Umsatz!F11*Kanäle!$D$2-'Digital Marketing Budget'!F11</f>
        <v>0</v>
      </c>
      <c r="G11" s="21">
        <f>Umsatz!G11*Kanäle!$D$2-'Digital Marketing Budget'!G11</f>
        <v>0</v>
      </c>
      <c r="H11" s="21">
        <f>Umsatz!H11*Kanäle!$D$2-'Digital Marketing Budget'!H11</f>
        <v>0</v>
      </c>
      <c r="I11" s="20">
        <f>Umsatz!I11*Kanäle!$D$2-'Digital Marketing Budget'!I11</f>
        <v>0</v>
      </c>
      <c r="J11" s="20">
        <f>Umsatz!J11*Kanäle!$D$2-'Digital Marketing Budget'!J11</f>
        <v>0</v>
      </c>
      <c r="K11" s="20">
        <f>Umsatz!K11*Kanäle!$D$2-'Digital Marketing Budget'!K11</f>
        <v>0</v>
      </c>
      <c r="L11" s="21">
        <f>Umsatz!L11*Kanäle!$D$2-'Digital Marketing Budget'!L11</f>
        <v>0</v>
      </c>
      <c r="M11" s="21">
        <f>Umsatz!M11*Kanäle!$D$2-'Digital Marketing Budget'!M11</f>
        <v>0</v>
      </c>
      <c r="N11" s="21">
        <f>Umsatz!N11*Kanäle!$D$2-'Digital Marketing Budget'!N11</f>
        <v>0</v>
      </c>
      <c r="O11" s="18">
        <f t="shared" si="1"/>
        <v>0</v>
      </c>
      <c r="P11" s="55"/>
    </row>
    <row r="12" spans="2:16" ht="16.5" customHeight="1">
      <c r="B12" s="19" t="s">
        <v>25</v>
      </c>
      <c r="C12" s="20">
        <f>Umsatz!C12*Kanäle!$D$2-'Digital Marketing Budget'!C12</f>
        <v>0</v>
      </c>
      <c r="D12" s="20">
        <f>Umsatz!D12*Kanäle!$D$2-'Digital Marketing Budget'!D12</f>
        <v>0</v>
      </c>
      <c r="E12" s="20">
        <f>Umsatz!E12*Kanäle!$D$2-'Digital Marketing Budget'!E12</f>
        <v>0</v>
      </c>
      <c r="F12" s="21">
        <f>Umsatz!F12*Kanäle!$D$2-'Digital Marketing Budget'!F12</f>
        <v>0</v>
      </c>
      <c r="G12" s="21">
        <f>Umsatz!G12*Kanäle!$D$2-'Digital Marketing Budget'!G12</f>
        <v>0</v>
      </c>
      <c r="H12" s="21">
        <f>Umsatz!H12*Kanäle!$D$2-'Digital Marketing Budget'!H12</f>
        <v>0</v>
      </c>
      <c r="I12" s="20">
        <f>Umsatz!I12*Kanäle!$D$2-'Digital Marketing Budget'!I12</f>
        <v>0</v>
      </c>
      <c r="J12" s="20">
        <f>Umsatz!J12*Kanäle!$D$2-'Digital Marketing Budget'!J12</f>
        <v>0</v>
      </c>
      <c r="K12" s="20">
        <f>Umsatz!K12*Kanäle!$D$2-'Digital Marketing Budget'!K12</f>
        <v>0</v>
      </c>
      <c r="L12" s="21">
        <f>Umsatz!L12*Kanäle!$D$2-'Digital Marketing Budget'!L12</f>
        <v>0</v>
      </c>
      <c r="M12" s="21">
        <f>Umsatz!M12*Kanäle!$D$2-'Digital Marketing Budget'!M12</f>
        <v>0</v>
      </c>
      <c r="N12" s="21">
        <f>Umsatz!N12*Kanäle!$D$2-'Digital Marketing Budget'!N12</f>
        <v>0</v>
      </c>
      <c r="O12" s="18">
        <f t="shared" si="1"/>
        <v>0</v>
      </c>
      <c r="P12" s="55"/>
    </row>
    <row r="13" spans="2:16" ht="16.5" customHeight="1">
      <c r="B13" s="19" t="s">
        <v>26</v>
      </c>
      <c r="C13" s="20">
        <f>Umsatz!C13*Kanäle!$D$2-'Digital Marketing Budget'!C13</f>
        <v>0</v>
      </c>
      <c r="D13" s="20">
        <f>Umsatz!D13*Kanäle!$D$2-'Digital Marketing Budget'!D13</f>
        <v>0</v>
      </c>
      <c r="E13" s="20">
        <f>Umsatz!E13*Kanäle!$D$2-'Digital Marketing Budget'!E13</f>
        <v>75.862068965517238</v>
      </c>
      <c r="F13" s="21">
        <f>Umsatz!F13*Kanäle!$D$2-'Digital Marketing Budget'!F13</f>
        <v>37.931034482758619</v>
      </c>
      <c r="G13" s="21">
        <f>Umsatz!G13*Kanäle!$D$2-'Digital Marketing Budget'!G13</f>
        <v>47.41379310344827</v>
      </c>
      <c r="H13" s="21">
        <f>Umsatz!H13*Kanäle!$D$2-'Digital Marketing Budget'!H13</f>
        <v>59.267241379310342</v>
      </c>
      <c r="I13" s="20">
        <f>Umsatz!I13*Kanäle!$D$2-'Digital Marketing Budget'!I13</f>
        <v>185.21012931034483</v>
      </c>
      <c r="J13" s="20">
        <f>Umsatz!J13*Kanäle!$D$2-'Digital Marketing Budget'!J13</f>
        <v>231.51266163793102</v>
      </c>
      <c r="K13" s="20">
        <f>Umsatz!K13*Kanäle!$D$2-'Digital Marketing Budget'!K13</f>
        <v>289.39082704741378</v>
      </c>
      <c r="L13" s="21">
        <f>Umsatz!L13*Kanäle!$D$2-'Digital Marketing Budget'!L13</f>
        <v>361.73853380926721</v>
      </c>
      <c r="M13" s="21">
        <f>Umsatz!M13*Kanäle!$D$2-'Digital Marketing Budget'!M13</f>
        <v>452.17316726158401</v>
      </c>
      <c r="N13" s="21">
        <f>Umsatz!N13*Kanäle!$D$2-'Digital Marketing Budget'!N13</f>
        <v>565.21645907698007</v>
      </c>
      <c r="O13" s="18">
        <f t="shared" si="1"/>
        <v>2305.7159160745555</v>
      </c>
      <c r="P13" s="55"/>
    </row>
    <row r="14" spans="2:16" ht="16.5" customHeight="1">
      <c r="B14" s="19" t="s">
        <v>27</v>
      </c>
      <c r="C14" s="20">
        <f>Umsatz!C14*Kanäle!$D$2-'Digital Marketing Budget'!C14</f>
        <v>0</v>
      </c>
      <c r="D14" s="20">
        <f>Umsatz!D14*Kanäle!$D$2-'Digital Marketing Budget'!D14</f>
        <v>0</v>
      </c>
      <c r="E14" s="20">
        <f>Umsatz!E14*Kanäle!$D$2-'Digital Marketing Budget'!E14</f>
        <v>0</v>
      </c>
      <c r="F14" s="21">
        <f>Umsatz!F14*Kanäle!$D$2-'Digital Marketing Budget'!F14</f>
        <v>-13.068965517241381</v>
      </c>
      <c r="G14" s="21">
        <f>Umsatz!G14*Kanäle!$D$2-'Digital Marketing Budget'!G14</f>
        <v>34.34482758620689</v>
      </c>
      <c r="H14" s="21">
        <f>Umsatz!H14*Kanäle!$D$2-'Digital Marketing Budget'!H14</f>
        <v>93.612068965517238</v>
      </c>
      <c r="I14" s="20">
        <f>Umsatz!I14*Kanäle!$D$2-'Digital Marketing Budget'!I14</f>
        <v>167.69612068965517</v>
      </c>
      <c r="J14" s="20">
        <f>Umsatz!J14*Kanäle!$D$2-'Digital Marketing Budget'!J14</f>
        <v>260.30118534482756</v>
      </c>
      <c r="K14" s="20">
        <f>Umsatz!K14*Kanäle!$D$2-'Digital Marketing Budget'!K14</f>
        <v>376.05751616379308</v>
      </c>
      <c r="L14" s="21">
        <f>Umsatz!L14*Kanäle!$D$2-'Digital Marketing Budget'!L14</f>
        <v>520.7529296875</v>
      </c>
      <c r="M14" s="21">
        <f>Umsatz!M14*Kanäle!$D$2-'Digital Marketing Budget'!M14</f>
        <v>701.62219659213361</v>
      </c>
      <c r="N14" s="21">
        <f>Umsatz!N14*Kanäle!$D$2-'Digital Marketing Budget'!N14</f>
        <v>927.70878022292561</v>
      </c>
      <c r="O14" s="18">
        <f t="shared" si="1"/>
        <v>3069.0266597353179</v>
      </c>
      <c r="P14" s="55"/>
    </row>
    <row r="15" spans="2:16" ht="16.5" customHeight="1">
      <c r="B15" s="22" t="s">
        <v>28</v>
      </c>
      <c r="C15" s="20">
        <f>Umsatz!C15*Kanäle!$D$2</f>
        <v>0</v>
      </c>
      <c r="D15" s="20">
        <f>Umsatz!D15*Kanäle!$D$2</f>
        <v>0</v>
      </c>
      <c r="E15" s="20">
        <f>Umsatz!E15*Kanäle!$D$2</f>
        <v>0</v>
      </c>
      <c r="F15" s="21">
        <f>Umsatz!F15*Kanäle!$D$2</f>
        <v>600.25862068965512</v>
      </c>
      <c r="G15" s="21">
        <f>Umsatz!G15*Kanäle!$D$2</f>
        <v>753.16810344827582</v>
      </c>
      <c r="H15" s="21">
        <f>Umsatz!H15*Kanäle!$D$2</f>
        <v>944.30495689655163</v>
      </c>
      <c r="I15" s="20">
        <f>Umsatz!I15*Kanäle!$D$2</f>
        <v>1183.2260237068965</v>
      </c>
      <c r="J15" s="20">
        <f>Umsatz!J15*Kanäle!$D$2</f>
        <v>1481.8773572198274</v>
      </c>
      <c r="K15" s="20">
        <v>0</v>
      </c>
      <c r="L15" s="21">
        <f>Umsatz!L15*Kanäle!$D$2</f>
        <v>2321.8342327249461</v>
      </c>
      <c r="M15" s="21">
        <f>Umsatz!M15*Kanäle!$D$2</f>
        <v>2905.1376184923893</v>
      </c>
      <c r="N15" s="21">
        <f>Umsatz!N15*Kanäle!$D$2</f>
        <v>3634.2668507016938</v>
      </c>
      <c r="O15" s="18">
        <f t="shared" si="1"/>
        <v>13824.073763880235</v>
      </c>
      <c r="P15" s="55"/>
    </row>
    <row r="16" spans="2:16" ht="16.5" customHeight="1">
      <c r="B16" s="10" t="s">
        <v>32</v>
      </c>
      <c r="C16" s="24">
        <f t="shared" ref="C16:O16" si="2">SUM(C7:C15)</f>
        <v>0</v>
      </c>
      <c r="D16" s="24">
        <f t="shared" si="2"/>
        <v>0</v>
      </c>
      <c r="E16" s="24">
        <f t="shared" si="2"/>
        <v>5386.2068965517237</v>
      </c>
      <c r="F16" s="24">
        <f t="shared" si="2"/>
        <v>7263.0517241379312</v>
      </c>
      <c r="G16" s="24">
        <f t="shared" si="2"/>
        <v>9132.3405172413768</v>
      </c>
      <c r="H16" s="24">
        <f t="shared" si="2"/>
        <v>11468.951508620688</v>
      </c>
      <c r="I16" s="24">
        <f t="shared" si="2"/>
        <v>14500.841325431034</v>
      </c>
      <c r="J16" s="24">
        <f t="shared" si="2"/>
        <v>18179.577518857754</v>
      </c>
      <c r="K16" s="24">
        <f t="shared" si="2"/>
        <v>20922.80623653017</v>
      </c>
      <c r="L16" s="24">
        <f t="shared" si="2"/>
        <v>23526.023062870416</v>
      </c>
      <c r="M16" s="24">
        <f t="shared" si="2"/>
        <v>30711.054690656991</v>
      </c>
      <c r="N16" s="24">
        <f t="shared" si="2"/>
        <v>39692.34422539021</v>
      </c>
      <c r="O16" s="25">
        <f t="shared" si="2"/>
        <v>180783.19770628828</v>
      </c>
    </row>
    <row r="17" spans="2:15" ht="16.5" customHeight="1"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 spans="2:15" ht="16.5" customHeight="1"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2:15" ht="16.5" customHeight="1"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2:15" ht="16.5" customHeight="1"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 spans="2:15" ht="16.5" customHeight="1"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6.5" customHeight="1">
      <c r="B22" s="78">
        <v>2023</v>
      </c>
      <c r="C22" s="89" t="s">
        <v>2</v>
      </c>
      <c r="D22" s="81"/>
      <c r="E22" s="81"/>
      <c r="F22" s="92" t="s">
        <v>3</v>
      </c>
      <c r="G22" s="81"/>
      <c r="H22" s="81"/>
      <c r="I22" s="93" t="s">
        <v>4</v>
      </c>
      <c r="J22" s="81"/>
      <c r="K22" s="81"/>
      <c r="L22" s="92" t="s">
        <v>5</v>
      </c>
      <c r="M22" s="81"/>
      <c r="N22" s="81"/>
      <c r="O22" s="94" t="s">
        <v>42</v>
      </c>
    </row>
    <row r="23" spans="2:15" ht="16.5" customHeight="1">
      <c r="B23" s="79"/>
      <c r="C23" s="44" t="s">
        <v>7</v>
      </c>
      <c r="D23" s="24" t="s">
        <v>8</v>
      </c>
      <c r="E23" s="24" t="s">
        <v>9</v>
      </c>
      <c r="F23" s="45" t="s">
        <v>10</v>
      </c>
      <c r="G23" s="46" t="s">
        <v>11</v>
      </c>
      <c r="H23" s="46" t="s">
        <v>12</v>
      </c>
      <c r="I23" s="44" t="s">
        <v>13</v>
      </c>
      <c r="J23" s="24" t="s">
        <v>14</v>
      </c>
      <c r="K23" s="24" t="s">
        <v>15</v>
      </c>
      <c r="L23" s="45" t="s">
        <v>16</v>
      </c>
      <c r="M23" s="46" t="s">
        <v>17</v>
      </c>
      <c r="N23" s="46" t="s">
        <v>18</v>
      </c>
      <c r="O23" s="87"/>
    </row>
    <row r="24" spans="2:15" ht="16.5" customHeight="1">
      <c r="B24" s="13" t="s">
        <v>19</v>
      </c>
      <c r="C24" s="14">
        <f t="shared" ref="C24:N24" si="3">SUM(C25:C33)</f>
        <v>63673.90538508974</v>
      </c>
      <c r="D24" s="14">
        <f t="shared" si="3"/>
        <v>68520.756479907868</v>
      </c>
      <c r="E24" s="14">
        <f t="shared" si="3"/>
        <v>79804.26788266674</v>
      </c>
      <c r="F24" s="16">
        <f t="shared" si="3"/>
        <v>84218.990727608776</v>
      </c>
      <c r="G24" s="16">
        <f t="shared" si="3"/>
        <v>90811.350089986736</v>
      </c>
      <c r="H24" s="16">
        <f t="shared" si="3"/>
        <v>105141.61755257871</v>
      </c>
      <c r="I24" s="14">
        <f t="shared" si="3"/>
        <v>107484.56302885436</v>
      </c>
      <c r="J24" s="14">
        <f t="shared" si="3"/>
        <v>116355.68625121652</v>
      </c>
      <c r="K24" s="14">
        <f t="shared" si="3"/>
        <v>130431.38992530838</v>
      </c>
      <c r="L24" s="16">
        <f t="shared" si="3"/>
        <v>137993.75919975113</v>
      </c>
      <c r="M24" s="16">
        <f t="shared" si="3"/>
        <v>145636.86856561439</v>
      </c>
      <c r="N24" s="16">
        <f t="shared" si="3"/>
        <v>156860.53896307462</v>
      </c>
      <c r="O24" s="29">
        <f t="shared" ref="O24:O33" si="4">SUM(C24:N24)</f>
        <v>1286933.694051658</v>
      </c>
    </row>
    <row r="25" spans="2:15" ht="16.5" customHeight="1">
      <c r="B25" s="19" t="s">
        <v>37</v>
      </c>
      <c r="C25" s="20">
        <f>(Umsatz!C25*Kanäle!$D$2)-'Digital Marketing Budget'!C25-'Digital Marketing Budget'!C26</f>
        <v>13097.143149540341</v>
      </c>
      <c r="D25" s="20">
        <f>(Umsatz!D25*Kanäle!$D$2)-'Digital Marketing Budget'!D25-'Digital Marketing Budget'!D26</f>
        <v>18007.357464494376</v>
      </c>
      <c r="E25" s="20">
        <f>(Umsatz!E25*Kanäle!$D$2)-'Digital Marketing Budget'!E25-'Digital Marketing Budget'!E26</f>
        <v>20059.093210943814</v>
      </c>
      <c r="F25" s="21">
        <f>(Umsatz!F25*Kanäle!$D$2)-'Digital Marketing Budget'!F25-'Digital Marketing Budget'!F26</f>
        <v>22316.002532038194</v>
      </c>
      <c r="G25" s="21">
        <f>(Umsatz!G25*Kanäle!$D$2)-'Digital Marketing Budget'!G25-'Digital Marketing Budget'!G26</f>
        <v>27308.602785242019</v>
      </c>
      <c r="H25" s="21">
        <f>(Umsatz!H25*Kanäle!$D$2)-'Digital Marketing Budget'!H25-'Digital Marketing Budget'!H26</f>
        <v>29590.213063766227</v>
      </c>
      <c r="I25" s="20">
        <f>(Umsatz!I25*Kanäle!$D$2)-'Digital Marketing Budget'!I25-'Digital Marketing Budget'!I26</f>
        <v>32893.65937014285</v>
      </c>
      <c r="J25" s="20">
        <f>(Umsatz!J25*Kanäle!$D$2)-'Digital Marketing Budget'!J25-'Digital Marketing Budget'!J26</f>
        <v>36198.000307157134</v>
      </c>
      <c r="K25" s="20">
        <f>(Umsatz!K25*Kanäle!$D$2)-'Digital Marketing Budget'!K25-'Digital Marketing Budget'!K26</f>
        <v>39832.775337872859</v>
      </c>
      <c r="L25" s="21">
        <f>(Umsatz!L25*Kanäle!$D$2)-'Digital Marketing Budget'!L25-'Digital Marketing Budget'!L26</f>
        <v>43831.027871660146</v>
      </c>
      <c r="M25" s="21">
        <f>(Umsatz!M25*Kanäle!$D$2)-'Digital Marketing Budget'!M25-'Digital Marketing Budget'!M26</f>
        <v>48229.105658826164</v>
      </c>
      <c r="N25" s="21">
        <f>(Umsatz!N25*Kanäle!$D$2)-'Digital Marketing Budget'!N25-'Digital Marketing Budget'!N26</f>
        <v>53066.991224708785</v>
      </c>
      <c r="O25" s="18">
        <f t="shared" si="4"/>
        <v>384429.97197639296</v>
      </c>
    </row>
    <row r="26" spans="2:15" ht="16.5" customHeight="1">
      <c r="B26" s="19"/>
      <c r="C26" s="20">
        <v>0</v>
      </c>
      <c r="D26" s="20">
        <v>0</v>
      </c>
      <c r="E26" s="20">
        <v>0</v>
      </c>
      <c r="F26" s="21">
        <v>0</v>
      </c>
      <c r="G26" s="21">
        <v>0</v>
      </c>
      <c r="H26" s="21">
        <v>0</v>
      </c>
      <c r="I26" s="20">
        <v>0</v>
      </c>
      <c r="J26" s="20">
        <v>0</v>
      </c>
      <c r="K26" s="20">
        <v>0</v>
      </c>
      <c r="L26" s="21">
        <v>0</v>
      </c>
      <c r="M26" s="21">
        <v>0</v>
      </c>
      <c r="N26" s="21">
        <v>0</v>
      </c>
      <c r="O26" s="18">
        <f t="shared" si="4"/>
        <v>0</v>
      </c>
    </row>
    <row r="27" spans="2:15" ht="16.5" customHeight="1">
      <c r="B27" s="19" t="s">
        <v>22</v>
      </c>
      <c r="C27" s="20">
        <f>Umsatz!C27*Kanäle!$D$2-'Digital Marketing Budget'!C27</f>
        <v>21091.416983768857</v>
      </c>
      <c r="D27" s="20">
        <f>Umsatz!D27*Kanäle!$D$2-'Digital Marketing Budget'!D27</f>
        <v>19574.175604458513</v>
      </c>
      <c r="E27" s="20">
        <f>Umsatz!E27*Kanäle!$D$2-'Digital Marketing Budget'!E27</f>
        <v>26787.932501010237</v>
      </c>
      <c r="F27" s="21">
        <f>Umsatz!F27*Kanäle!$D$2-'Digital Marketing Budget'!F27</f>
        <v>25518.991121699888</v>
      </c>
      <c r="G27" s="21">
        <f>Umsatz!G27*Kanäle!$D$2-'Digital Marketing Budget'!G27</f>
        <v>24001.749742389544</v>
      </c>
      <c r="H27" s="21">
        <f>Umsatz!H27*Kanäle!$D$2-'Digital Marketing Budget'!H27</f>
        <v>31587.956638941268</v>
      </c>
      <c r="I27" s="20">
        <f>Umsatz!I27*Kanäle!$D$2-'Digital Marketing Budget'!I27</f>
        <v>26966.865259630926</v>
      </c>
      <c r="J27" s="20">
        <f>Umsatz!J27*Kanäle!$D$2-'Digital Marketing Budget'!J27</f>
        <v>28677.623880320582</v>
      </c>
      <c r="K27" s="20">
        <f>Umsatz!K27*Kanäle!$D$2-'Digital Marketing Budget'!K27</f>
        <v>35695.830776872303</v>
      </c>
      <c r="L27" s="21">
        <f>Umsatz!L27*Kanäle!$D$2-'Digital Marketing Budget'!L27</f>
        <v>34746.589397561962</v>
      </c>
      <c r="M27" s="21">
        <f>Umsatz!M27*Kanäle!$D$2-'Digital Marketing Budget'!M27</f>
        <v>33229.348018251614</v>
      </c>
      <c r="N27" s="21">
        <f>Umsatz!N27*Kanäle!$D$2-'Digital Marketing Budget'!N27</f>
        <v>40815.554914803339</v>
      </c>
      <c r="O27" s="18">
        <f t="shared" si="4"/>
        <v>348694.03483970906</v>
      </c>
    </row>
    <row r="28" spans="2:15" ht="16.5" customHeight="1">
      <c r="B28" s="19" t="s">
        <v>23</v>
      </c>
      <c r="C28" s="20">
        <f>(Umsatz!C28*Kanäle!$D$2)-'Digital Marketing Budget'!C28</f>
        <v>4543.4724137931025</v>
      </c>
      <c r="D28" s="20">
        <f>(Umsatz!D28*Kanäle!$D$2)-'Digital Marketing Budget'!D28</f>
        <v>3739.5724137931029</v>
      </c>
      <c r="E28" s="20">
        <f>(Umsatz!E28*Kanäle!$D$2)-'Digital Marketing Budget'!E28</f>
        <v>2383.9424137931037</v>
      </c>
      <c r="F28" s="21">
        <f>(Umsatz!F28*Kanäle!$D$2)-'Digital Marketing Budget'!F28</f>
        <v>2571.6024137931036</v>
      </c>
      <c r="G28" s="21">
        <f>(Umsatz!G28*Kanäle!$D$2)-'Digital Marketing Budget'!G28</f>
        <v>2853.0224137931036</v>
      </c>
      <c r="H28" s="21">
        <f>(Umsatz!H28*Kanäle!$D$2)-'Digital Marketing Budget'!H28</f>
        <v>2946.0324137931038</v>
      </c>
      <c r="I28" s="20">
        <f>(Umsatz!I28*Kanäle!$D$2)-'Digital Marketing Budget'!I28</f>
        <v>3043.9024137931028</v>
      </c>
      <c r="J28" s="20">
        <f>(Umsatz!J28*Kanäle!$D$2)-'Digital Marketing Budget'!J28</f>
        <v>3457.2524137931032</v>
      </c>
      <c r="K28" s="20">
        <f>(Umsatz!K28*Kanäle!$D$2)-'Digital Marketing Budget'!K28</f>
        <v>1891.662413793103</v>
      </c>
      <c r="L28" s="21">
        <f>(Umsatz!L28*Kanäle!$D$2)-'Digital Marketing Budget'!L28</f>
        <v>3003.7624137931034</v>
      </c>
      <c r="M28" s="21">
        <f>(Umsatz!M28*Kanäle!$D$2)-'Digital Marketing Budget'!M28</f>
        <v>2883.992413793103</v>
      </c>
      <c r="N28" s="21">
        <f>(Umsatz!N28*Kanäle!$D$2)-'Digital Marketing Budget'!N28</f>
        <v>-1763.2975862068961</v>
      </c>
      <c r="O28" s="18">
        <f t="shared" si="4"/>
        <v>31554.918965517234</v>
      </c>
    </row>
    <row r="29" spans="2:15" ht="16.5" customHeight="1">
      <c r="B29" s="19" t="s">
        <v>24</v>
      </c>
      <c r="C29" s="20">
        <f>Umsatz!C29*Kanäle!$D$2-'Digital Marketing Budget'!C29</f>
        <v>9155.1724137931033</v>
      </c>
      <c r="D29" s="20">
        <f>Umsatz!D29*Kanäle!$D$2-'Digital Marketing Budget'!D29</f>
        <v>9155.1724137931033</v>
      </c>
      <c r="E29" s="20">
        <f>Umsatz!E29*Kanäle!$D$2-'Digital Marketing Budget'!E29</f>
        <v>9155.1724137931033</v>
      </c>
      <c r="F29" s="21">
        <f>Umsatz!F29*Kanäle!$D$2-'Digital Marketing Budget'!F29</f>
        <v>9155.1724137931033</v>
      </c>
      <c r="G29" s="21">
        <f>Umsatz!G29*Kanäle!$D$2-'Digital Marketing Budget'!G29</f>
        <v>9155.1724137931033</v>
      </c>
      <c r="H29" s="21">
        <f>Umsatz!H29*Kanäle!$D$2-'Digital Marketing Budget'!H29</f>
        <v>9155.1724137931033</v>
      </c>
      <c r="I29" s="20">
        <f>Umsatz!I29*Kanäle!$D$2-'Digital Marketing Budget'!I29</f>
        <v>9155.1724137931033</v>
      </c>
      <c r="J29" s="20">
        <f>Umsatz!J29*Kanäle!$D$2-'Digital Marketing Budget'!J29</f>
        <v>9155.1724137931033</v>
      </c>
      <c r="K29" s="20">
        <f>Umsatz!K29*Kanäle!$D$2-'Digital Marketing Budget'!K29</f>
        <v>9155.1724137931033</v>
      </c>
      <c r="L29" s="21">
        <f>Umsatz!L29*Kanäle!$D$2-'Digital Marketing Budget'!L29</f>
        <v>9155.1724137931033</v>
      </c>
      <c r="M29" s="21">
        <f>Umsatz!M29*Kanäle!$D$2-'Digital Marketing Budget'!M29</f>
        <v>9155.1724137931033</v>
      </c>
      <c r="N29" s="21">
        <f>Umsatz!N29*Kanäle!$D$2-'Digital Marketing Budget'!N29</f>
        <v>9155.1724137931033</v>
      </c>
      <c r="O29" s="18">
        <f t="shared" si="4"/>
        <v>109862.06896551723</v>
      </c>
    </row>
    <row r="30" spans="2:15" ht="16.5" customHeight="1">
      <c r="B30" s="19" t="s">
        <v>25</v>
      </c>
      <c r="C30" s="20">
        <f>Umsatz!C30*Kanäle!$D$2-'Digital Marketing Budget'!C30</f>
        <v>5702.5862068965516</v>
      </c>
      <c r="D30" s="20">
        <f>Umsatz!D30*Kanäle!$D$2-'Digital Marketing Budget'!D30</f>
        <v>5702.5862068965516</v>
      </c>
      <c r="E30" s="20">
        <f>Umsatz!E30*Kanäle!$D$2-'Digital Marketing Budget'!E30</f>
        <v>5702.5862068965516</v>
      </c>
      <c r="F30" s="21">
        <f>Umsatz!F30*Kanäle!$D$2-'Digital Marketing Budget'!F30</f>
        <v>5702.5862068965516</v>
      </c>
      <c r="G30" s="21">
        <f>Umsatz!G30*Kanäle!$D$2-'Digital Marketing Budget'!G30</f>
        <v>5702.5862068965516</v>
      </c>
      <c r="H30" s="21">
        <f>Umsatz!H30*Kanäle!$D$2-'Digital Marketing Budget'!H30</f>
        <v>5702.5862068965516</v>
      </c>
      <c r="I30" s="20">
        <f>Umsatz!I30*Kanäle!$D$2-'Digital Marketing Budget'!I30</f>
        <v>5702.5862068965516</v>
      </c>
      <c r="J30" s="20">
        <f>Umsatz!J30*Kanäle!$D$2-'Digital Marketing Budget'!J30</f>
        <v>5702.5862068965516</v>
      </c>
      <c r="K30" s="20">
        <f>Umsatz!K30*Kanäle!$D$2-'Digital Marketing Budget'!K30</f>
        <v>5702.5862068965516</v>
      </c>
      <c r="L30" s="21">
        <f>Umsatz!L30*Kanäle!$D$2-'Digital Marketing Budget'!L30</f>
        <v>5702.5862068965516</v>
      </c>
      <c r="M30" s="21">
        <f>Umsatz!M30*Kanäle!$D$2-'Digital Marketing Budget'!M30</f>
        <v>5702.5862068965516</v>
      </c>
      <c r="N30" s="21">
        <f>Umsatz!N30*Kanäle!$D$2-'Digital Marketing Budget'!N30</f>
        <v>5702.5862068965516</v>
      </c>
      <c r="O30" s="18">
        <f t="shared" si="4"/>
        <v>68431.034482758623</v>
      </c>
    </row>
    <row r="31" spans="2:15" ht="16.5" customHeight="1">
      <c r="B31" s="19" t="s">
        <v>26</v>
      </c>
      <c r="C31" s="20">
        <f>Umsatz!C31*Kanäle!$D$2-'Digital Marketing Budget'!C31</f>
        <v>621.73810498467822</v>
      </c>
      <c r="D31" s="20">
        <f>Umsatz!D31*Kanäle!$D$2-'Digital Marketing Budget'!D31</f>
        <v>683.911915483146</v>
      </c>
      <c r="E31" s="20">
        <f>Umsatz!E31*Kanäle!$D$2-'Digital Marketing Budget'!E31</f>
        <v>343.16310703146075</v>
      </c>
      <c r="F31" s="21">
        <f>Umsatz!F31*Kanäle!$D$2-'Digital Marketing Budget'!F31</f>
        <v>691.15341773460682</v>
      </c>
      <c r="G31" s="21">
        <f>Umsatz!G31*Kanäle!$D$2-'Digital Marketing Budget'!G31</f>
        <v>773.90675950806769</v>
      </c>
      <c r="H31" s="21">
        <f>Umsatz!H31*Kanäle!$D$2-'Digital Marketing Budget'!H31</f>
        <v>864.93543545887451</v>
      </c>
      <c r="I31" s="20">
        <f>Umsatz!I31*Kanäle!$D$2-'Digital Marketing Budget'!I31</f>
        <v>965.06697900476217</v>
      </c>
      <c r="J31" s="20">
        <f>Umsatz!J31*Kanäle!$D$2-'Digital Marketing Budget'!J31</f>
        <v>1075.2116769052382</v>
      </c>
      <c r="K31" s="20">
        <f>Umsatz!K31*Kanäle!$D$2-'Digital Marketing Budget'!K31</f>
        <v>1196.3708445957623</v>
      </c>
      <c r="L31" s="21">
        <f>Umsatz!L31*Kanäle!$D$2-'Digital Marketing Budget'!L31</f>
        <v>536.35592905533861</v>
      </c>
      <c r="M31" s="21">
        <f>Umsatz!M31*Kanäle!$D$2-'Digital Marketing Budget'!M31</f>
        <v>1476.2485219608725</v>
      </c>
      <c r="N31" s="21">
        <f>Umsatz!N31*Kanäle!$D$2-'Digital Marketing Budget'!N31</f>
        <v>-565.68862584303997</v>
      </c>
      <c r="O31" s="18">
        <f t="shared" si="4"/>
        <v>8662.3740658797669</v>
      </c>
    </row>
    <row r="32" spans="2:15" ht="16.5" customHeight="1">
      <c r="B32" s="19" t="s">
        <v>27</v>
      </c>
      <c r="C32" s="20">
        <f>Umsatz!C32*Kanäle!$D$2-'Digital Marketing Budget'!C32</f>
        <v>3036.8504785998111</v>
      </c>
      <c r="D32" s="20">
        <f>Umsatz!D32*Kanäle!$D$2-'Digital Marketing Budget'!D32</f>
        <v>4994.2680390456626</v>
      </c>
      <c r="E32" s="20">
        <f>Umsatz!E32*Kanäle!$D$2-'Digital Marketing Budget'!E32</f>
        <v>7710.3062891466861</v>
      </c>
      <c r="F32" s="21">
        <f>Umsatz!F32*Kanäle!$D$2-'Digital Marketing Budget'!F32</f>
        <v>10274.620401316675</v>
      </c>
      <c r="G32" s="21">
        <f>Umsatz!G32*Kanäle!$D$2-'Digital Marketing Budget'!G32</f>
        <v>12687.210375555629</v>
      </c>
      <c r="H32" s="21">
        <f>Umsatz!H32*Kanäle!$D$2-'Digital Marketing Budget'!H32</f>
        <v>15858.421039449757</v>
      </c>
      <c r="I32" s="20">
        <f>Umsatz!I32*Kanäle!$D$2-'Digital Marketing Budget'!I32</f>
        <v>18877.90756541285</v>
      </c>
      <c r="J32" s="20">
        <f>Umsatz!J32*Kanäle!$D$2-'Digital Marketing Budget'!J32</f>
        <v>21745.669953444907</v>
      </c>
      <c r="K32" s="20">
        <f>Umsatz!K32*Kanäle!$D$2-'Digital Marketing Budget'!K32</f>
        <v>25372.053031132138</v>
      </c>
      <c r="L32" s="21">
        <f>Umsatz!L32*Kanäle!$D$2-'Digital Marketing Budget'!L32</f>
        <v>28846.711970888333</v>
      </c>
      <c r="M32" s="21">
        <f>Umsatz!M32*Kanäle!$D$2-'Digital Marketing Budget'!M32</f>
        <v>32169.646772713495</v>
      </c>
      <c r="N32" s="21">
        <f>Umsatz!N32*Kanäle!$D$2-'Digital Marketing Budget'!N32</f>
        <v>36251.202264193831</v>
      </c>
      <c r="O32" s="18">
        <f t="shared" si="4"/>
        <v>217824.86818089976</v>
      </c>
    </row>
    <row r="33" spans="2:15" ht="16.5" customHeight="1">
      <c r="B33" s="22" t="s">
        <v>28</v>
      </c>
      <c r="C33" s="20">
        <f>Umsatz!C33*Kanäle!$D$2</f>
        <v>6425.5256337132942</v>
      </c>
      <c r="D33" s="20">
        <f>Umsatz!D33*Kanäle!$D$2</f>
        <v>6663.7124219434008</v>
      </c>
      <c r="E33" s="20">
        <f>Umsatz!E33*Kanäle!$D$2</f>
        <v>7662.0717400517951</v>
      </c>
      <c r="F33" s="21">
        <f>Umsatz!F33*Kanäle!$D$2</f>
        <v>7988.8622203366504</v>
      </c>
      <c r="G33" s="21">
        <f>Umsatz!G33*Kanäle!$D$2</f>
        <v>8329.0993928087173</v>
      </c>
      <c r="H33" s="21">
        <f>Umsatz!H33*Kanäle!$D$2</f>
        <v>9436.3003404798164</v>
      </c>
      <c r="I33" s="20">
        <f>Umsatz!I33*Kanäle!$D$2</f>
        <v>9879.402820180203</v>
      </c>
      <c r="J33" s="20">
        <f>Umsatz!J33*Kanäle!$D$2</f>
        <v>10344.169398905902</v>
      </c>
      <c r="K33" s="20">
        <f>Umsatz!K33*Kanäle!$D$2</f>
        <v>11584.938900352556</v>
      </c>
      <c r="L33" s="21">
        <f>Umsatz!L33*Kanäle!$D$2</f>
        <v>12171.552996102595</v>
      </c>
      <c r="M33" s="21">
        <f>Umsatz!M33*Kanäle!$D$2</f>
        <v>12790.768559379469</v>
      </c>
      <c r="N33" s="21">
        <f>Umsatz!N33*Kanäle!$D$2</f>
        <v>14198.018150728962</v>
      </c>
      <c r="O33" s="18">
        <f t="shared" si="4"/>
        <v>117474.42257498336</v>
      </c>
    </row>
    <row r="34" spans="2:15" ht="16.5" customHeight="1">
      <c r="B34" s="10" t="s">
        <v>32</v>
      </c>
      <c r="C34" s="24">
        <f t="shared" ref="C34:O34" si="5">SUM(C25:C33)</f>
        <v>63673.90538508974</v>
      </c>
      <c r="D34" s="24">
        <f t="shared" si="5"/>
        <v>68520.756479907868</v>
      </c>
      <c r="E34" s="24">
        <f t="shared" si="5"/>
        <v>79804.26788266674</v>
      </c>
      <c r="F34" s="24">
        <f t="shared" si="5"/>
        <v>84218.990727608776</v>
      </c>
      <c r="G34" s="24">
        <f t="shared" si="5"/>
        <v>90811.350089986736</v>
      </c>
      <c r="H34" s="24">
        <f t="shared" si="5"/>
        <v>105141.61755257871</v>
      </c>
      <c r="I34" s="24">
        <f t="shared" si="5"/>
        <v>107484.56302885436</v>
      </c>
      <c r="J34" s="24">
        <f t="shared" si="5"/>
        <v>116355.68625121652</v>
      </c>
      <c r="K34" s="24">
        <f t="shared" si="5"/>
        <v>130431.38992530838</v>
      </c>
      <c r="L34" s="24">
        <f t="shared" si="5"/>
        <v>137993.75919975113</v>
      </c>
      <c r="M34" s="24">
        <f t="shared" si="5"/>
        <v>145636.86856561439</v>
      </c>
      <c r="N34" s="24">
        <f t="shared" si="5"/>
        <v>156860.53896307462</v>
      </c>
      <c r="O34" s="25">
        <f t="shared" si="5"/>
        <v>1286933.6940516578</v>
      </c>
    </row>
    <row r="35" spans="2:15" ht="16.5" customHeight="1"/>
    <row r="36" spans="2:15" ht="16.5" customHeight="1"/>
    <row r="37" spans="2:15" ht="16.5" customHeight="1"/>
    <row r="38" spans="2:15" ht="16.5" customHeight="1"/>
    <row r="39" spans="2:15" ht="16.5" customHeight="1"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spans="2:15" ht="16.5" customHeight="1">
      <c r="B40" s="78">
        <v>2024</v>
      </c>
      <c r="C40" s="89" t="s">
        <v>2</v>
      </c>
      <c r="D40" s="81"/>
      <c r="E40" s="81"/>
      <c r="F40" s="92" t="s">
        <v>3</v>
      </c>
      <c r="G40" s="81"/>
      <c r="H40" s="81"/>
      <c r="I40" s="93" t="s">
        <v>4</v>
      </c>
      <c r="J40" s="81"/>
      <c r="K40" s="81"/>
      <c r="L40" s="92" t="s">
        <v>5</v>
      </c>
      <c r="M40" s="81"/>
      <c r="N40" s="81"/>
      <c r="O40" s="94" t="s">
        <v>42</v>
      </c>
    </row>
    <row r="41" spans="2:15" ht="16.5" customHeight="1">
      <c r="B41" s="79"/>
      <c r="C41" s="44" t="s">
        <v>7</v>
      </c>
      <c r="D41" s="24" t="s">
        <v>8</v>
      </c>
      <c r="E41" s="24" t="s">
        <v>9</v>
      </c>
      <c r="F41" s="45" t="s">
        <v>10</v>
      </c>
      <c r="G41" s="46" t="s">
        <v>11</v>
      </c>
      <c r="H41" s="46" t="s">
        <v>12</v>
      </c>
      <c r="I41" s="44" t="s">
        <v>13</v>
      </c>
      <c r="J41" s="24" t="s">
        <v>14</v>
      </c>
      <c r="K41" s="24" t="s">
        <v>15</v>
      </c>
      <c r="L41" s="45" t="s">
        <v>16</v>
      </c>
      <c r="M41" s="46" t="s">
        <v>17</v>
      </c>
      <c r="N41" s="46" t="s">
        <v>18</v>
      </c>
      <c r="O41" s="87"/>
    </row>
    <row r="42" spans="2:15" ht="16.5" customHeight="1">
      <c r="B42" s="13" t="s">
        <v>19</v>
      </c>
      <c r="C42" s="14">
        <f t="shared" ref="C42:N42" si="6">SUM(C43:C51)</f>
        <v>172140.47662335064</v>
      </c>
      <c r="D42" s="14">
        <f t="shared" si="6"/>
        <v>180333.7530855714</v>
      </c>
      <c r="E42" s="14">
        <f t="shared" si="6"/>
        <v>200177.81625454221</v>
      </c>
      <c r="F42" s="16">
        <f t="shared" si="6"/>
        <v>206621.62390438627</v>
      </c>
      <c r="G42" s="16">
        <f t="shared" si="6"/>
        <v>219300.61441422548</v>
      </c>
      <c r="H42" s="16">
        <f t="shared" si="6"/>
        <v>218198.12000109375</v>
      </c>
      <c r="I42" s="14">
        <f t="shared" si="6"/>
        <v>255642.13227614231</v>
      </c>
      <c r="J42" s="14">
        <f t="shared" si="6"/>
        <v>270458.42483922362</v>
      </c>
      <c r="K42" s="14">
        <f t="shared" si="6"/>
        <v>293597.49965017557</v>
      </c>
      <c r="L42" s="16">
        <f t="shared" si="6"/>
        <v>311599.15703723335</v>
      </c>
      <c r="M42" s="16">
        <f t="shared" si="6"/>
        <v>330550.95618904207</v>
      </c>
      <c r="N42" s="16">
        <f t="shared" si="6"/>
        <v>363526.35521311132</v>
      </c>
      <c r="O42" s="29">
        <f t="shared" ref="O42:O51" si="7">SUM(C42:N42)</f>
        <v>3022146.9294880982</v>
      </c>
    </row>
    <row r="43" spans="2:15" ht="16.5" customHeight="1">
      <c r="B43" s="19" t="s">
        <v>37</v>
      </c>
      <c r="C43" s="20">
        <f>(Umsatz!C43*Kanäle!$D$2)-'Digital Marketing Budget'!C43-'Digital Marketing Budget'!C44</f>
        <v>58388.665347179674</v>
      </c>
      <c r="D43" s="20">
        <f>(Umsatz!D43*Kanäle!$D$2)-'Digital Marketing Budget'!D43-'Digital Marketing Budget'!D44</f>
        <v>64242.506881897643</v>
      </c>
      <c r="E43" s="20">
        <f>(Umsatz!E43*Kanäle!$D$2)-'Digital Marketing Budget'!E43-'Digital Marketing Budget'!E44</f>
        <v>70681.732570087406</v>
      </c>
      <c r="F43" s="21">
        <f>(Umsatz!F43*Kanäle!$D$2)-'Digital Marketing Budget'!F43-'Digital Marketing Budget'!F44</f>
        <v>77914.63082709616</v>
      </c>
      <c r="G43" s="21">
        <f>(Umsatz!G43*Kanäle!$D$2)-'Digital Marketing Budget'!G43-'Digital Marketing Budget'!G44</f>
        <v>85706.093909805772</v>
      </c>
      <c r="H43" s="21">
        <f>(Umsatz!H43*Kanäle!$D$2)-'Digital Marketing Budget'!H43-'Digital Marketing Budget'!H44</f>
        <v>94276.703300786379</v>
      </c>
      <c r="I43" s="20">
        <f>(Umsatz!I43*Kanäle!$D$2)-'Digital Marketing Budget'!I43-'Digital Marketing Budget'!I44</f>
        <v>103704.37363086501</v>
      </c>
      <c r="J43" s="20">
        <f>(Umsatz!J43*Kanäle!$D$2)-'Digital Marketing Budget'!J43-'Digital Marketing Budget'!J44</f>
        <v>113775.31099395153</v>
      </c>
      <c r="K43" s="20">
        <f>(Umsatz!K43*Kanäle!$D$2)-'Digital Marketing Budget'!K43-'Digital Marketing Budget'!K44</f>
        <v>125266.65209334668</v>
      </c>
      <c r="L43" s="21">
        <f>(Umsatz!L43*Kanäle!$D$2)-'Digital Marketing Budget'!L43-'Digital Marketing Budget'!L44</f>
        <v>137970.62130268136</v>
      </c>
      <c r="M43" s="21">
        <f>(Umsatz!M43*Kanäle!$D$2)-'Digital Marketing Budget'!M43-'Digital Marketing Budget'!M44</f>
        <v>151773.67343294949</v>
      </c>
      <c r="N43" s="21">
        <f>(Umsatz!N43*Kanäle!$D$2)-'Digital Marketing Budget'!N43-'Digital Marketing Budget'!N44</f>
        <v>166741.39077624446</v>
      </c>
      <c r="O43" s="18">
        <f t="shared" si="7"/>
        <v>1250442.3550668918</v>
      </c>
    </row>
    <row r="44" spans="2:15" ht="16.5" customHeight="1">
      <c r="B44" s="19"/>
      <c r="C44" s="20">
        <v>0</v>
      </c>
      <c r="D44" s="20">
        <v>0</v>
      </c>
      <c r="E44" s="20">
        <v>0</v>
      </c>
      <c r="F44" s="21">
        <v>0</v>
      </c>
      <c r="G44" s="21">
        <v>0</v>
      </c>
      <c r="H44" s="21">
        <v>0</v>
      </c>
      <c r="I44" s="20">
        <v>0</v>
      </c>
      <c r="J44" s="20">
        <v>0</v>
      </c>
      <c r="K44" s="20">
        <v>0</v>
      </c>
      <c r="L44" s="21">
        <v>0</v>
      </c>
      <c r="M44" s="21">
        <v>0</v>
      </c>
      <c r="N44" s="21">
        <v>0</v>
      </c>
      <c r="O44" s="18">
        <f t="shared" si="7"/>
        <v>0</v>
      </c>
    </row>
    <row r="45" spans="2:15" ht="16.5" customHeight="1">
      <c r="B45" s="19" t="s">
        <v>22</v>
      </c>
      <c r="C45" s="20">
        <f>Umsatz!C45*Kanäle!$D$2-'Digital Marketing Budget'!C45</f>
        <v>39298.313535492991</v>
      </c>
      <c r="D45" s="20">
        <f>Umsatz!D45*Kanäle!$D$2-'Digital Marketing Budget'!D45</f>
        <v>37781.07215618265</v>
      </c>
      <c r="E45" s="20">
        <f>Umsatz!E45*Kanäle!$D$2-'Digital Marketing Budget'!E45</f>
        <v>45367.279052734375</v>
      </c>
      <c r="F45" s="21">
        <f>Umsatz!F45*Kanäle!$D$2-'Digital Marketing Budget'!F45</f>
        <v>43850.037673424027</v>
      </c>
      <c r="G45" s="21">
        <f>Umsatz!G45*Kanäle!$D$2-'Digital Marketing Budget'!G45</f>
        <v>42332.796294113687</v>
      </c>
      <c r="H45" s="21">
        <f>Umsatz!H45*Kanäle!$D$2-'Digital Marketing Budget'!H45</f>
        <v>49919.003190665404</v>
      </c>
      <c r="I45" s="20">
        <f>Umsatz!I45*Kanäle!$D$2-'Digital Marketing Budget'!I45</f>
        <v>46787.761811355063</v>
      </c>
      <c r="J45" s="20">
        <f>Umsatz!J45*Kanäle!$D$2-'Digital Marketing Budget'!J45</f>
        <v>45270.520432044716</v>
      </c>
      <c r="K45" s="20">
        <f>Umsatz!K45*Kanäle!$D$2-'Digital Marketing Budget'!K45</f>
        <v>54470.72732859644</v>
      </c>
      <c r="L45" s="21">
        <f>Umsatz!L45*Kanäle!$D$2-'Digital Marketing Budget'!L45</f>
        <v>52714.195949286099</v>
      </c>
      <c r="M45" s="21">
        <f>Umsatz!M45*Kanäle!$D$2-'Digital Marketing Budget'!M45</f>
        <v>51196.954569975751</v>
      </c>
      <c r="N45" s="21">
        <f>Umsatz!N45*Kanäle!$D$2-'Digital Marketing Budget'!N45</f>
        <v>58783.161466527476</v>
      </c>
      <c r="O45" s="18">
        <f t="shared" si="7"/>
        <v>567771.82346039871</v>
      </c>
    </row>
    <row r="46" spans="2:15" ht="16.5" customHeight="1">
      <c r="B46" s="19" t="s">
        <v>23</v>
      </c>
      <c r="C46" s="20">
        <f>(Umsatz!C46*Kanäle!$D$2)-'Digital Marketing Budget'!C46</f>
        <v>2209.4524137931039</v>
      </c>
      <c r="D46" s="20">
        <f>(Umsatz!D46*Kanäle!$D$2)-'Digital Marketing Budget'!D46</f>
        <v>1532.9424137931037</v>
      </c>
      <c r="E46" s="20">
        <f>(Umsatz!E46*Kanäle!$D$2)-'Digital Marketing Budget'!E46</f>
        <v>1261.7024137931039</v>
      </c>
      <c r="F46" s="21">
        <f>(Umsatz!F46*Kanäle!$D$2)-'Digital Marketing Budget'!F46</f>
        <v>-3318.5475862068979</v>
      </c>
      <c r="G46" s="21">
        <f>(Umsatz!G46*Kanäle!$D$2)-'Digital Marketing Budget'!G46</f>
        <v>-2129.9075862068967</v>
      </c>
      <c r="H46" s="21">
        <f>(Umsatz!H46*Kanäle!$D$2)-'Digital Marketing Budget'!H46</f>
        <v>-26181.537586206898</v>
      </c>
      <c r="I46" s="20">
        <f>(Umsatz!I46*Kanäle!$D$2)-'Digital Marketing Budget'!I46</f>
        <v>-1066.1175862068976</v>
      </c>
      <c r="J46" s="20">
        <f>(Umsatz!J46*Kanäle!$D$2)-'Digital Marketing Budget'!J46</f>
        <v>-766.85758620689739</v>
      </c>
      <c r="K46" s="20">
        <f>(Umsatz!K46*Kanäle!$D$2)-'Digital Marketing Budget'!K46</f>
        <v>-5525.1875862068973</v>
      </c>
      <c r="L46" s="21">
        <f>(Umsatz!L46*Kanäle!$D$2)-'Digital Marketing Budget'!L46</f>
        <v>-5195.7375862068966</v>
      </c>
      <c r="M46" s="21">
        <f>(Umsatz!M46*Kanäle!$D$2)-'Digital Marketing Budget'!M46</f>
        <v>-5208.9375862068973</v>
      </c>
      <c r="N46" s="21">
        <f>(Umsatz!N46*Kanäle!$D$2)-'Digital Marketing Budget'!N46</f>
        <v>-3454.3475862068972</v>
      </c>
      <c r="O46" s="18">
        <f t="shared" si="7"/>
        <v>-47843.081034482762</v>
      </c>
    </row>
    <row r="47" spans="2:15" ht="16.5" customHeight="1">
      <c r="B47" s="19" t="s">
        <v>24</v>
      </c>
      <c r="C47" s="20">
        <f>Umsatz!C47*Kanäle!$D$2-'Digital Marketing Budget'!C47</f>
        <v>9155.1724137931033</v>
      </c>
      <c r="D47" s="20">
        <f>Umsatz!D47*Kanäle!$D$2-'Digital Marketing Budget'!D47</f>
        <v>9155.1724137931033</v>
      </c>
      <c r="E47" s="20">
        <f>Umsatz!E47*Kanäle!$D$2-'Digital Marketing Budget'!E47</f>
        <v>9155.1724137931033</v>
      </c>
      <c r="F47" s="21">
        <f>Umsatz!F47*Kanäle!$D$2-'Digital Marketing Budget'!F47</f>
        <v>9155.1724137931033</v>
      </c>
      <c r="G47" s="21">
        <f>Umsatz!G47*Kanäle!$D$2-'Digital Marketing Budget'!G47</f>
        <v>9155.1724137931033</v>
      </c>
      <c r="H47" s="21">
        <f>Umsatz!H47*Kanäle!$D$2-'Digital Marketing Budget'!H47</f>
        <v>9155.1724137931033</v>
      </c>
      <c r="I47" s="20">
        <f>Umsatz!I47*Kanäle!$D$2-'Digital Marketing Budget'!I47</f>
        <v>9155.1724137931033</v>
      </c>
      <c r="J47" s="20">
        <f>Umsatz!J47*Kanäle!$D$2-'Digital Marketing Budget'!J47</f>
        <v>9155.1724137931033</v>
      </c>
      <c r="K47" s="20">
        <f>Umsatz!K47*Kanäle!$D$2-'Digital Marketing Budget'!K47</f>
        <v>9155.1724137931033</v>
      </c>
      <c r="L47" s="21">
        <f>Umsatz!L47*Kanäle!$D$2-'Digital Marketing Budget'!L47</f>
        <v>9155.1724137931033</v>
      </c>
      <c r="M47" s="21">
        <f>Umsatz!M47*Kanäle!$D$2-'Digital Marketing Budget'!M47</f>
        <v>9155.1724137931033</v>
      </c>
      <c r="N47" s="21">
        <f>Umsatz!N47*Kanäle!$D$2-'Digital Marketing Budget'!N47</f>
        <v>9155.1724137931033</v>
      </c>
      <c r="O47" s="18">
        <f t="shared" si="7"/>
        <v>109862.06896551723</v>
      </c>
    </row>
    <row r="48" spans="2:15" ht="16.5" customHeight="1">
      <c r="B48" s="19" t="s">
        <v>25</v>
      </c>
      <c r="C48" s="20">
        <f>Umsatz!C48*Kanäle!$D$2-'Digital Marketing Budget'!C48</f>
        <v>5702.5862068965516</v>
      </c>
      <c r="D48" s="20">
        <f>Umsatz!D48*Kanäle!$D$2-'Digital Marketing Budget'!D48</f>
        <v>5702.5862068965516</v>
      </c>
      <c r="E48" s="20">
        <f>Umsatz!E48*Kanäle!$D$2-'Digital Marketing Budget'!E48</f>
        <v>5702.5862068965516</v>
      </c>
      <c r="F48" s="21">
        <f>Umsatz!F48*Kanäle!$D$2-'Digital Marketing Budget'!F48</f>
        <v>5702.5862068965516</v>
      </c>
      <c r="G48" s="21">
        <f>Umsatz!G48*Kanäle!$D$2-'Digital Marketing Budget'!G48</f>
        <v>5702.5862068965516</v>
      </c>
      <c r="H48" s="21">
        <f>Umsatz!H48*Kanäle!$D$2-'Digital Marketing Budget'!H48</f>
        <v>5702.5862068965516</v>
      </c>
      <c r="I48" s="20">
        <f>Umsatz!I48*Kanäle!$D$2-'Digital Marketing Budget'!I48</f>
        <v>5702.5862068965516</v>
      </c>
      <c r="J48" s="20">
        <f>Umsatz!J48*Kanäle!$D$2-'Digital Marketing Budget'!J48</f>
        <v>5702.5862068965516</v>
      </c>
      <c r="K48" s="20">
        <f>Umsatz!K48*Kanäle!$D$2-'Digital Marketing Budget'!K48</f>
        <v>5702.5862068965516</v>
      </c>
      <c r="L48" s="21">
        <f>Umsatz!L48*Kanäle!$D$2-'Digital Marketing Budget'!L48</f>
        <v>5702.5862068965516</v>
      </c>
      <c r="M48" s="21">
        <f>Umsatz!M48*Kanäle!$D$2-'Digital Marketing Budget'!M48</f>
        <v>5702.5862068965516</v>
      </c>
      <c r="N48" s="21">
        <f>Umsatz!N48*Kanäle!$D$2-'Digital Marketing Budget'!N48</f>
        <v>5702.5862068965516</v>
      </c>
      <c r="O48" s="18">
        <f t="shared" si="7"/>
        <v>68431.034482758623</v>
      </c>
    </row>
    <row r="49" spans="2:15" ht="16.5" customHeight="1">
      <c r="B49" s="19" t="s">
        <v>26</v>
      </c>
      <c r="C49" s="20">
        <f>Umsatz!C49*Kanäle!$D$2-'Digital Marketing Budget'!C49</f>
        <v>2143.5320689655173</v>
      </c>
      <c r="D49" s="20">
        <f>Umsatz!D49*Kanäle!$D$2-'Digital Marketing Budget'!D49</f>
        <v>2143.6620689655174</v>
      </c>
      <c r="E49" s="20">
        <f>Umsatz!E49*Kanäle!$D$2-'Digital Marketing Budget'!E49</f>
        <v>2143.6620689655174</v>
      </c>
      <c r="F49" s="21">
        <f>Umsatz!F49*Kanäle!$D$2-'Digital Marketing Budget'!F49</f>
        <v>2143.6620689655174</v>
      </c>
      <c r="G49" s="21">
        <f>Umsatz!G49*Kanäle!$D$2-'Digital Marketing Budget'!G49</f>
        <v>2143.6620689655174</v>
      </c>
      <c r="H49" s="21">
        <f>Umsatz!H49*Kanäle!$D$2-'Digital Marketing Budget'!H49</f>
        <v>2143.6620689655174</v>
      </c>
      <c r="I49" s="20">
        <f>Umsatz!I49*Kanäle!$D$2-'Digital Marketing Budget'!I49</f>
        <v>2143.6620689655174</v>
      </c>
      <c r="J49" s="20">
        <f>Umsatz!J49*Kanäle!$D$2-'Digital Marketing Budget'!J49</f>
        <v>2143.6620689655174</v>
      </c>
      <c r="K49" s="20">
        <f>Umsatz!K49*Kanäle!$D$2-'Digital Marketing Budget'!K49</f>
        <v>1784.2020689655171</v>
      </c>
      <c r="L49" s="21">
        <f>Umsatz!L49*Kanäle!$D$2-'Digital Marketing Budget'!L49</f>
        <v>1675.4420689655171</v>
      </c>
      <c r="M49" s="21">
        <f>Umsatz!M49*Kanäle!$D$2-'Digital Marketing Budget'!M49</f>
        <v>1558.7220689655173</v>
      </c>
      <c r="N49" s="21">
        <f>Umsatz!N49*Kanäle!$D$2-'Digital Marketing Budget'!N49</f>
        <v>1793.3920689655172</v>
      </c>
      <c r="O49" s="18">
        <f t="shared" si="7"/>
        <v>23960.924827586208</v>
      </c>
    </row>
    <row r="50" spans="2:15" ht="16.5" customHeight="1">
      <c r="B50" s="19" t="s">
        <v>27</v>
      </c>
      <c r="C50" s="20">
        <f>Umsatz!C50*Kanäle!$D$2-'Digital Marketing Budget'!C50</f>
        <v>40181.033617743131</v>
      </c>
      <c r="D50" s="20">
        <f>Umsatz!D50*Kanäle!$D$2-'Digital Marketing Budget'!D50</f>
        <v>43959.140833361394</v>
      </c>
      <c r="E50" s="20">
        <f>Umsatz!E50*Kanäle!$D$2-'Digital Marketing Budget'!E50</f>
        <v>48495.868738634832</v>
      </c>
      <c r="F50" s="21">
        <f>Umsatz!F50*Kanäle!$D$2-'Digital Marketing Budget'!F50</f>
        <v>52880.872505977233</v>
      </c>
      <c r="G50" s="21">
        <f>Umsatz!G50*Kanäle!$D$2-'Digital Marketing Budget'!G50</f>
        <v>57114.152135388598</v>
      </c>
      <c r="H50" s="21">
        <f>Umsatz!H50*Kanäle!$D$2-'Digital Marketing Budget'!H50</f>
        <v>62106.052454455144</v>
      </c>
      <c r="I50" s="20">
        <f>Umsatz!I50*Kanäle!$D$2-'Digital Marketing Budget'!I50</f>
        <v>66946.228635590654</v>
      </c>
      <c r="J50" s="20">
        <f>Umsatz!J50*Kanäle!$D$2-'Digital Marketing Budget'!J50</f>
        <v>71634.680678795121</v>
      </c>
      <c r="K50" s="20">
        <f>Umsatz!K50*Kanäle!$D$2-'Digital Marketing Budget'!K50</f>
        <v>77081.753411654761</v>
      </c>
      <c r="L50" s="21">
        <f>Umsatz!L50*Kanäle!$D$2-'Digital Marketing Budget'!L50</f>
        <v>82377.102006583373</v>
      </c>
      <c r="M50" s="21">
        <f>Umsatz!M50*Kanäle!$D$2-'Digital Marketing Budget'!M50</f>
        <v>87520.726463580955</v>
      </c>
      <c r="N50" s="21">
        <f>Umsatz!N50*Kanäle!$D$2-'Digital Marketing Budget'!N50</f>
        <v>93422.971610233697</v>
      </c>
      <c r="O50" s="18">
        <f t="shared" si="7"/>
        <v>783720.58309199882</v>
      </c>
    </row>
    <row r="51" spans="2:15" ht="16.5" customHeight="1">
      <c r="B51" s="22" t="s">
        <v>28</v>
      </c>
      <c r="C51" s="20">
        <f>Umsatz!C51*Kanäle!$D$2</f>
        <v>15061.721019486538</v>
      </c>
      <c r="D51" s="20">
        <f>Umsatz!D51*Kanäle!$D$2</f>
        <v>15816.670110681429</v>
      </c>
      <c r="E51" s="20">
        <f>Umsatz!E51*Kanäle!$D$2</f>
        <v>17369.812789637297</v>
      </c>
      <c r="F51" s="21">
        <f>Umsatz!F51*Kanäle!$D$2</f>
        <v>18293.209794440576</v>
      </c>
      <c r="G51" s="21">
        <f>Umsatz!G51*Kanäle!$D$2</f>
        <v>19276.058971469116</v>
      </c>
      <c r="H51" s="21">
        <f>Umsatz!H51*Kanäle!$D$2</f>
        <v>21076.47795173854</v>
      </c>
      <c r="I51" s="20">
        <f>Umsatz!I51*Kanäle!$D$2</f>
        <v>22268.465094883293</v>
      </c>
      <c r="J51" s="20">
        <f>Umsatz!J51*Kanäle!$D$2</f>
        <v>23543.349630984001</v>
      </c>
      <c r="K51" s="20">
        <f>Umsatz!K51*Kanäle!$D$2</f>
        <v>25661.593713129376</v>
      </c>
      <c r="L51" s="21">
        <f>Umsatz!L51*Kanäle!$D$2</f>
        <v>27199.774675234206</v>
      </c>
      <c r="M51" s="21">
        <f>Umsatz!M51*Kanäle!$D$2</f>
        <v>28852.058619087566</v>
      </c>
      <c r="N51" s="21">
        <f>Umsatz!N51*Kanäle!$D$2</f>
        <v>31382.028256657399</v>
      </c>
      <c r="O51" s="18">
        <f t="shared" si="7"/>
        <v>265801.22062742937</v>
      </c>
    </row>
    <row r="52" spans="2:15" ht="16.5" customHeight="1">
      <c r="B52" s="10" t="s">
        <v>32</v>
      </c>
      <c r="C52" s="24">
        <f t="shared" ref="C52:O52" si="8">SUM(C43:C51)</f>
        <v>172140.47662335064</v>
      </c>
      <c r="D52" s="24">
        <f t="shared" si="8"/>
        <v>180333.7530855714</v>
      </c>
      <c r="E52" s="24">
        <f t="shared" si="8"/>
        <v>200177.81625454221</v>
      </c>
      <c r="F52" s="24">
        <f t="shared" si="8"/>
        <v>206621.62390438627</v>
      </c>
      <c r="G52" s="24">
        <f t="shared" si="8"/>
        <v>219300.61441422548</v>
      </c>
      <c r="H52" s="24">
        <f t="shared" si="8"/>
        <v>218198.12000109375</v>
      </c>
      <c r="I52" s="24">
        <f t="shared" si="8"/>
        <v>255642.13227614231</v>
      </c>
      <c r="J52" s="24">
        <f t="shared" si="8"/>
        <v>270458.42483922362</v>
      </c>
      <c r="K52" s="24">
        <f t="shared" si="8"/>
        <v>293597.49965017557</v>
      </c>
      <c r="L52" s="24">
        <f t="shared" si="8"/>
        <v>311599.15703723335</v>
      </c>
      <c r="M52" s="24">
        <f t="shared" si="8"/>
        <v>330550.95618904207</v>
      </c>
      <c r="N52" s="24">
        <f t="shared" si="8"/>
        <v>363526.35521311132</v>
      </c>
      <c r="O52" s="25">
        <f t="shared" si="8"/>
        <v>3022146.9294880982</v>
      </c>
    </row>
    <row r="53" spans="2:15" ht="16.5" customHeight="1"/>
    <row r="54" spans="2:15" ht="16.5" customHeight="1"/>
    <row r="55" spans="2:15" ht="16.5" customHeight="1"/>
    <row r="56" spans="2:15" ht="16.5" customHeight="1"/>
    <row r="57" spans="2:15" ht="16.5" customHeight="1"/>
    <row r="58" spans="2:15" ht="16.5" customHeight="1"/>
    <row r="59" spans="2:15" ht="16.5" customHeight="1"/>
    <row r="60" spans="2:15" ht="16.5" customHeight="1"/>
    <row r="61" spans="2:15" ht="16.5" customHeight="1"/>
    <row r="62" spans="2:15" ht="16.5" customHeight="1"/>
    <row r="63" spans="2:15" ht="16.5" customHeight="1"/>
    <row r="64" spans="2:15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</sheetData>
  <mergeCells count="19">
    <mergeCell ref="B40:B41"/>
    <mergeCell ref="O40:O41"/>
    <mergeCell ref="B22:B23"/>
    <mergeCell ref="C22:E22"/>
    <mergeCell ref="F22:H22"/>
    <mergeCell ref="I22:K22"/>
    <mergeCell ref="L22:N22"/>
    <mergeCell ref="L4:N4"/>
    <mergeCell ref="O4:O5"/>
    <mergeCell ref="C40:E40"/>
    <mergeCell ref="F40:H40"/>
    <mergeCell ref="I40:K40"/>
    <mergeCell ref="L40:N40"/>
    <mergeCell ref="O22:O23"/>
    <mergeCell ref="B1:D2"/>
    <mergeCell ref="B4:B5"/>
    <mergeCell ref="C4:E4"/>
    <mergeCell ref="F4:H4"/>
    <mergeCell ref="I4:K4"/>
  </mergeCells>
  <pageMargins left="0.7" right="0.7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baseColWidth="10" defaultColWidth="11.25" defaultRowHeight="15" customHeight="1"/>
  <cols>
    <col min="1" max="1" width="17.3125" customWidth="1"/>
    <col min="2" max="2" width="12.75" customWidth="1"/>
    <col min="3" max="3" width="11.6875" customWidth="1"/>
    <col min="4" max="4" width="12.125" customWidth="1"/>
    <col min="5" max="5" width="11.6875" customWidth="1"/>
    <col min="6" max="6" width="9.75" customWidth="1"/>
    <col min="7" max="7" width="12.4375" customWidth="1"/>
    <col min="8" max="8" width="11.5625" customWidth="1"/>
    <col min="9" max="9" width="5.875" customWidth="1"/>
    <col min="10" max="10" width="8.4375" customWidth="1"/>
    <col min="11" max="11" width="7.25" customWidth="1"/>
    <col min="12" max="12" width="8.25" customWidth="1"/>
    <col min="13" max="13" width="23" customWidth="1"/>
    <col min="14" max="14" width="15.125" customWidth="1"/>
    <col min="15" max="15" width="4.25" customWidth="1"/>
    <col min="16" max="16" width="8.5625" customWidth="1"/>
    <col min="17" max="30" width="4.4375" customWidth="1"/>
  </cols>
  <sheetData>
    <row r="1" spans="1:30" ht="15.75" customHeight="1">
      <c r="A1" s="56"/>
      <c r="B1" s="57" t="s">
        <v>43</v>
      </c>
      <c r="C1" s="57" t="s">
        <v>44</v>
      </c>
      <c r="D1" s="57" t="s">
        <v>45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1:30" ht="15.75" customHeight="1">
      <c r="A2" s="56"/>
      <c r="B2" s="58">
        <v>0.03</v>
      </c>
      <c r="C2" s="57">
        <v>200</v>
      </c>
      <c r="D2" s="59">
        <f t="shared" ref="D2:E2" si="0">(290-35-145)/290</f>
        <v>0.37931034482758619</v>
      </c>
      <c r="E2" s="59">
        <f t="shared" si="0"/>
        <v>0.37931034482758619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0" ht="15.75" customHeight="1">
      <c r="A3" s="56"/>
      <c r="B3" s="57"/>
      <c r="C3" s="57">
        <v>200</v>
      </c>
      <c r="D3" s="57">
        <v>14.33</v>
      </c>
      <c r="E3" s="57">
        <v>55</v>
      </c>
      <c r="F3" s="57">
        <f>((55/100*35))</f>
        <v>19.25</v>
      </c>
      <c r="G3" s="57">
        <f>E3-F3-D3</f>
        <v>21.42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0" ht="15.75" customHeight="1">
      <c r="A4" s="56"/>
      <c r="B4" s="57"/>
      <c r="C4" s="57"/>
      <c r="D4" s="57"/>
      <c r="E4" s="57"/>
      <c r="F4" s="57"/>
      <c r="G4" s="57"/>
      <c r="H4" s="57" t="s">
        <v>46</v>
      </c>
      <c r="I4" s="57" t="s">
        <v>47</v>
      </c>
      <c r="J4" s="57" t="s">
        <v>48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spans="1:30" ht="15.75" customHeight="1">
      <c r="A5" s="56" t="s">
        <v>49</v>
      </c>
      <c r="B5" s="57" t="s">
        <v>43</v>
      </c>
      <c r="C5" s="60">
        <v>0.03</v>
      </c>
      <c r="D5" s="57"/>
      <c r="E5" s="57"/>
      <c r="F5" s="57"/>
      <c r="G5" s="57"/>
      <c r="H5" s="57">
        <v>14.33</v>
      </c>
      <c r="I5" s="57">
        <v>55</v>
      </c>
      <c r="J5" s="57">
        <f>((55/100*35))</f>
        <v>19.25</v>
      </c>
      <c r="K5" s="57">
        <f>I5-J5-H5</f>
        <v>21.42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30" ht="15.75" customHeight="1">
      <c r="A6" s="61" t="s">
        <v>50</v>
      </c>
      <c r="B6" s="62" t="s">
        <v>51</v>
      </c>
      <c r="C6" s="62" t="s">
        <v>52</v>
      </c>
      <c r="D6" s="62" t="s">
        <v>53</v>
      </c>
      <c r="E6" s="62" t="s">
        <v>54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6"/>
      <c r="T6" s="56"/>
      <c r="U6" s="56" t="s">
        <v>55</v>
      </c>
      <c r="V6" s="56" t="s">
        <v>56</v>
      </c>
      <c r="W6" s="56" t="s">
        <v>57</v>
      </c>
      <c r="X6" s="56"/>
      <c r="Y6" s="56"/>
      <c r="Z6" s="56"/>
      <c r="AA6" s="56"/>
      <c r="AB6" s="56"/>
      <c r="AC6" s="56"/>
      <c r="AD6" s="56"/>
    </row>
    <row r="7" spans="1:30" ht="15.75" customHeight="1">
      <c r="A7" s="63" t="s">
        <v>58</v>
      </c>
      <c r="B7" s="64"/>
      <c r="C7" s="64"/>
      <c r="D7" s="64"/>
      <c r="E7" s="64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 t="s">
        <v>59</v>
      </c>
      <c r="T7" s="57">
        <v>29</v>
      </c>
      <c r="U7" s="57">
        <v>27</v>
      </c>
      <c r="V7" s="57">
        <v>3</v>
      </c>
      <c r="W7" s="57">
        <v>15</v>
      </c>
      <c r="X7" s="57"/>
      <c r="Y7" s="57">
        <f t="shared" ref="Y7:AB7" si="1">T7/29*100</f>
        <v>100</v>
      </c>
      <c r="Z7" s="57">
        <f t="shared" si="1"/>
        <v>93.103448275862064</v>
      </c>
      <c r="AA7" s="57">
        <f t="shared" si="1"/>
        <v>10.344827586206897</v>
      </c>
      <c r="AB7" s="57">
        <f t="shared" si="1"/>
        <v>51.724137931034484</v>
      </c>
      <c r="AC7" s="57">
        <f>Z7-AB7-AA7</f>
        <v>31.034482758620683</v>
      </c>
      <c r="AD7" s="57"/>
    </row>
    <row r="8" spans="1:30" ht="15.75" customHeight="1">
      <c r="A8" s="63" t="s">
        <v>60</v>
      </c>
      <c r="B8" s="64"/>
      <c r="C8" s="64"/>
      <c r="D8" s="64"/>
      <c r="E8" s="64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0" ht="15.75" customHeight="1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15.75" customHeight="1">
      <c r="A10" s="61" t="s">
        <v>61</v>
      </c>
      <c r="B10" s="65" t="s">
        <v>62</v>
      </c>
      <c r="C10" s="65" t="s">
        <v>63</v>
      </c>
      <c r="D10" s="65" t="s">
        <v>64</v>
      </c>
      <c r="E10" s="65" t="s">
        <v>65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0" ht="15.75" customHeight="1">
      <c r="A11" s="63" t="s">
        <v>58</v>
      </c>
      <c r="B11" s="64"/>
      <c r="C11" s="64"/>
      <c r="D11" s="64"/>
      <c r="E11" s="64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15.75" customHeight="1">
      <c r="A12" s="63" t="s">
        <v>60</v>
      </c>
      <c r="B12" s="64"/>
      <c r="C12" s="64"/>
      <c r="D12" s="64"/>
      <c r="E12" s="64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0" ht="15.75" customHeight="1">
      <c r="A13" s="56"/>
      <c r="B13" s="57" t="s">
        <v>43</v>
      </c>
      <c r="C13" s="58">
        <v>0.04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spans="1:30" ht="15.75" customHeight="1">
      <c r="A14" s="61" t="s">
        <v>22</v>
      </c>
      <c r="B14" s="62" t="s">
        <v>66</v>
      </c>
      <c r="C14" s="65" t="s">
        <v>62</v>
      </c>
      <c r="D14" s="62" t="s">
        <v>67</v>
      </c>
      <c r="E14" s="62" t="s">
        <v>68</v>
      </c>
      <c r="F14" s="62" t="s">
        <v>69</v>
      </c>
      <c r="G14" s="62" t="s">
        <v>70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 spans="1:30" ht="15.75" customHeight="1">
      <c r="A15" s="63" t="s">
        <v>58</v>
      </c>
      <c r="B15" s="64"/>
      <c r="C15" s="64"/>
      <c r="D15" s="64"/>
      <c r="E15" s="64"/>
      <c r="F15" s="64"/>
      <c r="G15" s="64"/>
      <c r="H15" s="66"/>
      <c r="I15" s="66"/>
      <c r="J15" s="6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spans="1:30" ht="15.75" customHeight="1">
      <c r="A16" s="63" t="s">
        <v>60</v>
      </c>
      <c r="B16" s="64"/>
      <c r="C16" s="64"/>
      <c r="D16" s="64"/>
      <c r="E16" s="64"/>
      <c r="F16" s="64"/>
      <c r="G16" s="64"/>
      <c r="H16" s="66"/>
      <c r="I16" s="66"/>
      <c r="J16" s="6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15.75" customHeight="1">
      <c r="A17" s="56"/>
      <c r="B17" s="57" t="s">
        <v>43</v>
      </c>
      <c r="C17" s="60">
        <v>0.04</v>
      </c>
      <c r="D17" s="57"/>
      <c r="E17" s="57"/>
      <c r="F17" s="57"/>
      <c r="G17" s="57"/>
      <c r="H17" s="66"/>
      <c r="I17" s="66"/>
      <c r="J17" s="66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15.75" customHeight="1">
      <c r="A18" s="61" t="s">
        <v>71</v>
      </c>
      <c r="B18" s="62" t="s">
        <v>72</v>
      </c>
      <c r="C18" s="65" t="s">
        <v>58</v>
      </c>
      <c r="D18" s="65" t="s">
        <v>73</v>
      </c>
      <c r="E18" s="62" t="s">
        <v>74</v>
      </c>
      <c r="F18" s="62" t="s">
        <v>75</v>
      </c>
      <c r="G18" s="57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spans="1:30" ht="15.75" customHeight="1">
      <c r="A19" s="63" t="s">
        <v>76</v>
      </c>
      <c r="B19" s="64">
        <v>0</v>
      </c>
      <c r="C19" s="64"/>
      <c r="D19" s="64">
        <v>0</v>
      </c>
      <c r="E19" s="64">
        <f t="shared" ref="E19:F19" si="2">(1*75*30)*1</f>
        <v>2250</v>
      </c>
      <c r="F19" s="64">
        <f t="shared" si="2"/>
        <v>2250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spans="1:30" ht="15.75" customHeight="1">
      <c r="A20" s="63" t="s">
        <v>60</v>
      </c>
      <c r="B20" s="64">
        <v>0</v>
      </c>
      <c r="C20" s="64">
        <v>0</v>
      </c>
      <c r="D20" s="64">
        <v>0</v>
      </c>
      <c r="E20" s="64">
        <f t="shared" ref="E20:F20" si="3">1*75*30</f>
        <v>2250</v>
      </c>
      <c r="F20" s="64">
        <f t="shared" si="3"/>
        <v>2250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15.75" customHeight="1">
      <c r="A21" s="63" t="s">
        <v>77</v>
      </c>
      <c r="B21" s="64">
        <v>0</v>
      </c>
      <c r="C21" s="64">
        <v>0</v>
      </c>
      <c r="D21" s="64">
        <v>0</v>
      </c>
      <c r="E21" s="64">
        <f t="shared" ref="E21:F21" si="4">E20/0.1</f>
        <v>22500</v>
      </c>
      <c r="F21" s="64">
        <f t="shared" si="4"/>
        <v>22500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spans="1:30" ht="15.75" customHeight="1">
      <c r="A22" s="56"/>
      <c r="B22" s="57" t="s">
        <v>43</v>
      </c>
      <c r="C22" s="60">
        <v>0.04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spans="1:30" ht="15.75" customHeight="1">
      <c r="A23" s="61" t="s">
        <v>78</v>
      </c>
      <c r="B23" s="62" t="s">
        <v>73</v>
      </c>
      <c r="C23" s="62" t="s">
        <v>74</v>
      </c>
      <c r="D23" s="62" t="s">
        <v>79</v>
      </c>
      <c r="E23" s="57"/>
      <c r="F23" s="56"/>
      <c r="G23" s="5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</row>
    <row r="24" spans="1:30" ht="15.75" customHeight="1">
      <c r="A24" s="63" t="s">
        <v>76</v>
      </c>
      <c r="B24" s="64">
        <v>0</v>
      </c>
      <c r="C24" s="64">
        <f t="shared" ref="C24:D24" si="5">(1*75*30)*1</f>
        <v>2250</v>
      </c>
      <c r="D24" s="64">
        <f t="shared" si="5"/>
        <v>2250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1:30" ht="15.75" customHeight="1">
      <c r="A25" s="63" t="s">
        <v>60</v>
      </c>
      <c r="B25" s="64">
        <v>0</v>
      </c>
      <c r="C25" s="64">
        <f t="shared" ref="C25:D25" si="6">1*75*30</f>
        <v>2250</v>
      </c>
      <c r="D25" s="64">
        <f t="shared" si="6"/>
        <v>2250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1:30" ht="15.75" customHeight="1">
      <c r="A26" s="63" t="s">
        <v>77</v>
      </c>
      <c r="B26" s="64">
        <v>0</v>
      </c>
      <c r="C26" s="64">
        <f t="shared" ref="C26:D26" si="7">C25/0.1</f>
        <v>22500</v>
      </c>
      <c r="D26" s="64">
        <f t="shared" si="7"/>
        <v>22500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spans="1:30" ht="15.75" customHeight="1">
      <c r="A27" s="56"/>
      <c r="B27" s="57" t="s">
        <v>43</v>
      </c>
      <c r="C27" s="60">
        <v>0.04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 ht="15.75" customHeight="1">
      <c r="A28" s="61" t="s">
        <v>25</v>
      </c>
      <c r="B28" s="62" t="s">
        <v>25</v>
      </c>
      <c r="C28" s="62" t="s">
        <v>73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spans="1:30" ht="15.75" customHeight="1">
      <c r="A29" s="63" t="s">
        <v>76</v>
      </c>
      <c r="B29" s="64">
        <f>(((1*75*30)+(1*75*30))*0.5)/2</f>
        <v>1125</v>
      </c>
      <c r="C29" s="64">
        <v>500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spans="1:30" ht="15.75" customHeight="1">
      <c r="A30" s="63" t="s">
        <v>60</v>
      </c>
      <c r="B30" s="64">
        <f>((1*75*30)+(1*75*30))/2</f>
        <v>2250</v>
      </c>
      <c r="C30" s="64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1:30" ht="15.75" customHeight="1">
      <c r="A31" s="63" t="s">
        <v>77</v>
      </c>
      <c r="B31" s="64">
        <f>B30/0.05</f>
        <v>45000</v>
      </c>
      <c r="C31" s="64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spans="1:30" ht="15.75" customHeight="1">
      <c r="A32" s="56"/>
      <c r="B32" s="57" t="s">
        <v>43</v>
      </c>
      <c r="C32" s="60">
        <v>0.01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pans="1:30" ht="15.75" customHeight="1">
      <c r="A33" s="61" t="s">
        <v>26</v>
      </c>
      <c r="B33" s="62" t="s">
        <v>80</v>
      </c>
      <c r="C33" s="62" t="s">
        <v>81</v>
      </c>
      <c r="D33" s="62" t="s">
        <v>82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:30" ht="15.75" customHeight="1">
      <c r="A34" s="63" t="s">
        <v>58</v>
      </c>
      <c r="B34" s="64">
        <v>2000</v>
      </c>
      <c r="C34" s="64">
        <v>500</v>
      </c>
      <c r="D34" s="64">
        <v>500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spans="1:30" ht="15.75" customHeight="1">
      <c r="A35" s="63" t="s">
        <v>83</v>
      </c>
      <c r="B35" s="64">
        <v>2000</v>
      </c>
      <c r="C35" s="64"/>
      <c r="D35" s="64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:30" ht="15.75" customHeight="1">
      <c r="A36" s="56"/>
      <c r="B36" s="57"/>
      <c r="C36" s="60">
        <v>0.04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pans="1:30" ht="15.75" customHeight="1">
      <c r="A37" s="61" t="s">
        <v>27</v>
      </c>
      <c r="B37" s="62" t="s">
        <v>82</v>
      </c>
      <c r="C37" s="62" t="s">
        <v>84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 spans="1:30" ht="15.75" customHeight="1">
      <c r="A38" s="63" t="s">
        <v>58</v>
      </c>
      <c r="B38" s="64">
        <v>50</v>
      </c>
      <c r="C38" s="64">
        <v>1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:30" ht="15.75" customHeight="1">
      <c r="A39" s="63" t="s">
        <v>60</v>
      </c>
      <c r="B39" s="64"/>
      <c r="C39" s="64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:30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spans="1:30" ht="15.75" customHeight="1">
      <c r="A41" s="61" t="s">
        <v>85</v>
      </c>
      <c r="B41" s="62" t="s">
        <v>86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:30" ht="15.75" customHeight="1">
      <c r="A42" s="63" t="s">
        <v>58</v>
      </c>
      <c r="B42" s="64">
        <v>0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spans="1:30" ht="15.75" customHeight="1">
      <c r="A43" s="63" t="s">
        <v>60</v>
      </c>
      <c r="B43" s="64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spans="1:30" ht="15.75" customHeight="1">
      <c r="A44" s="56"/>
      <c r="B44" s="57" t="s">
        <v>43</v>
      </c>
      <c r="C44" s="60">
        <v>0.04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spans="1:30" ht="15.75" customHeight="1">
      <c r="A45" s="61" t="s">
        <v>87</v>
      </c>
      <c r="B45" s="62" t="s">
        <v>88</v>
      </c>
      <c r="C45" s="62" t="s">
        <v>89</v>
      </c>
      <c r="D45" s="62" t="s">
        <v>90</v>
      </c>
      <c r="E45" s="62" t="s">
        <v>91</v>
      </c>
      <c r="F45" s="62" t="s">
        <v>92</v>
      </c>
      <c r="G45" s="62" t="s">
        <v>93</v>
      </c>
      <c r="H45" s="62" t="s">
        <v>94</v>
      </c>
      <c r="I45" s="62" t="s">
        <v>95</v>
      </c>
      <c r="J45" s="62" t="s">
        <v>96</v>
      </c>
      <c r="K45" s="67" t="s">
        <v>97</v>
      </c>
      <c r="L45" s="57"/>
      <c r="M45" s="57"/>
      <c r="N45" s="57"/>
      <c r="O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1:30" ht="15.75" customHeight="1">
      <c r="A46" s="63" t="s">
        <v>76</v>
      </c>
      <c r="B46" s="64">
        <v>10000</v>
      </c>
      <c r="C46" s="64">
        <v>0.42</v>
      </c>
      <c r="D46" s="64">
        <v>0.2</v>
      </c>
      <c r="E46" s="64">
        <v>0.3</v>
      </c>
      <c r="F46" s="64">
        <v>0.3</v>
      </c>
      <c r="G46" s="64">
        <v>0.2</v>
      </c>
      <c r="H46" s="64">
        <v>0.21</v>
      </c>
      <c r="I46" s="64">
        <v>0.2</v>
      </c>
      <c r="J46" s="64">
        <v>0.2</v>
      </c>
      <c r="K46" s="64">
        <v>0.2</v>
      </c>
      <c r="L46" s="57"/>
      <c r="M46" s="57"/>
      <c r="N46" s="57"/>
      <c r="O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spans="1:30" ht="15.75" customHeight="1">
      <c r="A47" s="63" t="s">
        <v>60</v>
      </c>
      <c r="B47" s="64"/>
      <c r="C47" s="64">
        <v>100</v>
      </c>
      <c r="D47" s="64">
        <v>100</v>
      </c>
      <c r="E47" s="64">
        <v>100</v>
      </c>
      <c r="F47" s="64">
        <v>100</v>
      </c>
      <c r="G47" s="64">
        <v>100</v>
      </c>
      <c r="H47" s="64">
        <v>100</v>
      </c>
      <c r="I47" s="64">
        <v>100</v>
      </c>
      <c r="J47" s="64">
        <v>100</v>
      </c>
      <c r="K47" s="64">
        <v>100</v>
      </c>
      <c r="L47" s="57"/>
      <c r="M47" s="57"/>
      <c r="N47" s="57"/>
      <c r="O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spans="1:30" ht="15.75" customHeight="1">
      <c r="A48" s="56"/>
      <c r="B48" s="57"/>
      <c r="C48" s="60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spans="1:30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 spans="1:3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 spans="1:30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spans="1:30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 spans="1:30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 spans="1:30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spans="1:30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 spans="1:30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1:30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1:30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spans="1:30" ht="15.75" customHeight="1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spans="1:30" ht="15.75" customHeight="1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spans="1:30" ht="15.75" customHeight="1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pans="1:30" ht="15.75" customHeight="1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 spans="1:30" ht="15.75" customHeight="1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spans="1:30" ht="15.75" customHeight="1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spans="1:30" ht="15.75" customHeight="1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 spans="1:30" ht="15.75" customHeight="1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spans="1:30" ht="15.75" customHeight="1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spans="1:30" ht="15.75" customHeight="1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spans="1:30" ht="15.75" customHeight="1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spans="1:30" ht="15.75" customHeight="1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 ht="15.75" customHeight="1">
      <c r="A71" s="5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spans="1:30" ht="15.75" customHeight="1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spans="1:30" ht="15.75" customHeight="1">
      <c r="A73" s="56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 spans="1:30" ht="15.75" customHeight="1">
      <c r="A74" s="56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spans="1:30" ht="15.75" customHeight="1">
      <c r="A75" s="56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spans="1:30" ht="15.75" customHeight="1">
      <c r="A76" s="5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pans="1:30" ht="15.75" customHeight="1">
      <c r="A77" s="56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 spans="1:30" ht="15.75" customHeight="1">
      <c r="A78" s="56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spans="1:30" ht="15.75" customHeight="1">
      <c r="A79" s="56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spans="1:30" ht="15.75" customHeight="1">
      <c r="A80" s="56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spans="1:30" ht="15.75" customHeight="1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spans="1:30" ht="15.75" customHeight="1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spans="1:30" ht="15.75" customHeight="1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 ht="15.75" customHeight="1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spans="1:30" ht="15.75" customHeight="1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spans="1:30" ht="15.75" customHeight="1">
      <c r="A86" s="5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spans="1:30" ht="15.75" customHeight="1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spans="1:30" ht="15.75" customHeight="1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spans="1:30" ht="15.75" customHeight="1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spans="1:30" ht="15.75" customHeight="1">
      <c r="A90" s="56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spans="1:30" ht="15.75" customHeight="1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spans="1:30" ht="15.75" customHeight="1">
      <c r="A92" s="56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 spans="1:30" ht="15.75" customHeight="1">
      <c r="A93" s="56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spans="1:30" ht="15.75" customHeight="1">
      <c r="A94" s="56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spans="1:30" ht="15.75" customHeight="1">
      <c r="A95" s="56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 ht="15.75" customHeight="1">
      <c r="A96" s="56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spans="1:30" ht="15.75" customHeight="1">
      <c r="A97" s="56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spans="1:30" ht="15.75" customHeight="1">
      <c r="A98" s="56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spans="1:30" ht="15.75" customHeight="1">
      <c r="A99" s="56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spans="1:30" ht="15.75" customHeight="1">
      <c r="A100" s="56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spans="1:30" ht="15.75" customHeight="1">
      <c r="A101" s="56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spans="1:30" ht="15.75" customHeight="1">
      <c r="A102" s="56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spans="1:30" ht="15.75" customHeight="1">
      <c r="A103" s="56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 spans="1:30" ht="15.75" customHeight="1">
      <c r="A104" s="56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spans="1:30" ht="15.75" customHeight="1">
      <c r="A105" s="56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spans="1:30" ht="15.75" customHeight="1">
      <c r="A106" s="56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spans="1:30" ht="15.75" customHeight="1">
      <c r="A107" s="56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spans="1:30" ht="15.75" customHeight="1">
      <c r="A108" s="56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spans="1:30" ht="15.75" customHeight="1">
      <c r="A109" s="56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spans="1:30" ht="15.75" customHeight="1">
      <c r="A110" s="56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 spans="1:30" ht="15.75" customHeight="1">
      <c r="A111" s="56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spans="1:30" ht="15.75" customHeight="1">
      <c r="A112" s="56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spans="1:30" ht="15.75" customHeight="1">
      <c r="A113" s="56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spans="1:30" ht="15.75" customHeight="1">
      <c r="A114" s="5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spans="1:30" ht="15.75" customHeight="1">
      <c r="A115" s="56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spans="1:30" ht="15.75" customHeight="1">
      <c r="A116" s="56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spans="1:30" ht="15.75" customHeight="1">
      <c r="A117" s="56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 ht="15.75" customHeight="1">
      <c r="A118" s="56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 ht="15.75" customHeight="1">
      <c r="A119" s="56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spans="1:30" ht="15.75" customHeight="1">
      <c r="A120" s="56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spans="1:30" ht="15.75" customHeight="1">
      <c r="A121" s="56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spans="1:30" ht="15.75" customHeight="1">
      <c r="A122" s="56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 ht="15.75" customHeight="1">
      <c r="A123" s="56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 ht="15.75" customHeight="1">
      <c r="A124" s="56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spans="1:30" ht="15.75" customHeight="1">
      <c r="A125" s="56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 ht="15.75" customHeight="1">
      <c r="A126" s="56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 ht="15.75" customHeight="1">
      <c r="A127" s="56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spans="1:30" ht="15.75" customHeight="1">
      <c r="A128" s="56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spans="1:30" ht="15.75" customHeight="1">
      <c r="A129" s="56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spans="1:30" ht="15.75" customHeight="1">
      <c r="A130" s="56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spans="1:30" ht="15.75" customHeight="1">
      <c r="A131" s="56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spans="1:30" ht="15.75" customHeight="1">
      <c r="A132" s="56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spans="1:30" ht="15.75" customHeight="1">
      <c r="A133" s="56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spans="1:30" ht="15.75" customHeight="1">
      <c r="A134" s="56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spans="1:30" ht="15.75" customHeight="1">
      <c r="A135" s="56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spans="1:30" ht="15.75" customHeight="1">
      <c r="A136" s="56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spans="1:30" ht="15.75" customHeight="1">
      <c r="A137" s="56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spans="1:30" ht="15.75" customHeight="1">
      <c r="A138" s="56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spans="1:30" ht="15.75" customHeight="1">
      <c r="A139" s="56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spans="1:30" ht="15.75" customHeight="1">
      <c r="A140" s="56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spans="1:30" ht="15.75" customHeight="1">
      <c r="A141" s="56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 spans="1:30" ht="15.75" customHeight="1">
      <c r="A142" s="56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 spans="1:30" ht="15.75" customHeight="1">
      <c r="A143" s="56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 spans="1:30" ht="15.75" customHeight="1">
      <c r="A144" s="56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 spans="1:30" ht="15.75" customHeight="1">
      <c r="A145" s="56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 spans="1:30" ht="15.75" customHeight="1">
      <c r="A146" s="56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 spans="1:30" ht="15.75" customHeight="1">
      <c r="A147" s="56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 spans="1:30" ht="15.75" customHeight="1">
      <c r="A148" s="56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 spans="1:30" ht="15.75" customHeight="1">
      <c r="A149" s="56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 spans="1:30" ht="15.75" customHeight="1">
      <c r="A150" s="56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spans="1:30" ht="15.75" customHeight="1">
      <c r="A151" s="56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spans="1:30" ht="15.75" customHeight="1">
      <c r="A152" s="56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spans="1:30" ht="15.75" customHeight="1">
      <c r="A153" s="56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spans="1:30" ht="15.75" customHeight="1">
      <c r="A154" s="56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spans="1:30" ht="15.75" customHeight="1">
      <c r="A155" s="56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spans="1:30" ht="15.75" customHeight="1">
      <c r="A156" s="56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spans="1:30" ht="15.75" customHeight="1">
      <c r="A157" s="56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spans="1:30" ht="15.75" customHeight="1">
      <c r="A158" s="56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spans="1:30" ht="15.75" customHeight="1">
      <c r="A159" s="56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spans="1:30" ht="15.75" customHeight="1">
      <c r="A160" s="56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spans="1:30" ht="15.75" customHeight="1">
      <c r="A161" s="56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spans="1:30" ht="15.75" customHeight="1">
      <c r="A162" s="56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spans="1:30" ht="15.75" customHeight="1">
      <c r="A163" s="56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spans="1:30" ht="15.75" customHeight="1">
      <c r="A164" s="56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 spans="1:30" ht="15.75" customHeight="1">
      <c r="A165" s="56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 spans="1:30" ht="15.75" customHeight="1">
      <c r="A166" s="56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 spans="1:30" ht="15.75" customHeight="1">
      <c r="A167" s="56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 spans="1:30" ht="15.75" customHeight="1">
      <c r="A168" s="56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 spans="1:30" ht="15.75" customHeight="1">
      <c r="A169" s="56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 spans="1:30" ht="15.75" customHeight="1">
      <c r="A170" s="56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 spans="1:30" ht="15.75" customHeight="1">
      <c r="A171" s="56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 spans="1:30" ht="15.75" customHeight="1">
      <c r="A172" s="56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 spans="1:30" ht="15.75" customHeight="1">
      <c r="A173" s="56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 spans="1:30" ht="15.75" customHeight="1">
      <c r="A174" s="56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 spans="1:30" ht="15.75" customHeight="1">
      <c r="A175" s="56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 spans="1:30" ht="15.75" customHeight="1">
      <c r="A176" s="56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 spans="1:30" ht="15.75" customHeight="1">
      <c r="A177" s="56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 spans="1:30" ht="15.75" customHeight="1">
      <c r="A178" s="56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 spans="1:30" ht="15.75" customHeight="1">
      <c r="A179" s="56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 spans="1:30" ht="15.75" customHeight="1">
      <c r="A180" s="56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 spans="1:30" ht="15.75" customHeight="1">
      <c r="A181" s="56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 spans="1:30" ht="15.75" customHeight="1">
      <c r="A182" s="56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 spans="1:30" ht="15.75" customHeight="1">
      <c r="A183" s="56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 spans="1:30" ht="15.75" customHeight="1">
      <c r="A184" s="56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 spans="1:30" ht="15.75" customHeight="1">
      <c r="A185" s="56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 spans="1:30" ht="15.75" customHeight="1">
      <c r="A186" s="56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 spans="1:30" ht="15.75" customHeight="1">
      <c r="A187" s="56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 spans="1:30" ht="15.75" customHeight="1">
      <c r="A188" s="56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 spans="1:30" ht="15.75" customHeight="1">
      <c r="A189" s="56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 spans="1:30" ht="15.75" customHeight="1">
      <c r="A190" s="56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 spans="1:30" ht="15.75" customHeight="1">
      <c r="A191" s="56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 spans="1:30" ht="15.75" customHeight="1">
      <c r="A192" s="56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 spans="1:30" ht="15.75" customHeight="1">
      <c r="A193" s="56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 spans="1:30" ht="15.75" customHeight="1">
      <c r="A194" s="56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 spans="1:30" ht="15.75" customHeight="1">
      <c r="A195" s="56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 spans="1:30" ht="15.75" customHeight="1">
      <c r="A196" s="56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 spans="1:30" ht="15.75" customHeight="1">
      <c r="A197" s="56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 spans="1:30" ht="15.75" customHeight="1">
      <c r="A198" s="56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 spans="1:30" ht="15.75" customHeight="1">
      <c r="A199" s="56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 spans="1:30" ht="15.75" customHeight="1">
      <c r="A200" s="56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 spans="1:30" ht="15.75" customHeight="1">
      <c r="A201" s="56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 spans="1:30" ht="15.75" customHeight="1">
      <c r="A202" s="56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 spans="1:30" ht="15.75" customHeight="1">
      <c r="A203" s="56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 spans="1:30" ht="15.75" customHeight="1">
      <c r="A204" s="56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 spans="1:30" ht="15.75" customHeight="1">
      <c r="A205" s="56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 spans="1:30" ht="15.75" customHeight="1">
      <c r="A206" s="56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 spans="1:30" ht="15.75" customHeight="1">
      <c r="A207" s="56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 spans="1:30" ht="15.75" customHeight="1">
      <c r="A208" s="56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 spans="1:30" ht="15.75" customHeight="1">
      <c r="A209" s="56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 spans="1:30" ht="15.75" customHeight="1">
      <c r="A210" s="56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 spans="1:30" ht="15.75" customHeight="1">
      <c r="A211" s="56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 spans="1:30" ht="15.75" customHeight="1">
      <c r="A212" s="56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 spans="1:30" ht="15.75" customHeight="1">
      <c r="A213" s="56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 spans="1:30" ht="15.75" customHeight="1">
      <c r="A214" s="56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 spans="1:30" ht="15.75" customHeight="1">
      <c r="A215" s="56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 spans="1:30" ht="15.75" customHeight="1">
      <c r="A216" s="56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 spans="1:30" ht="15.75" customHeight="1">
      <c r="A217" s="56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 spans="1:30" ht="15.75" customHeight="1">
      <c r="A218" s="56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 spans="1:30" ht="15.75" customHeight="1">
      <c r="A219" s="56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 spans="1:30" ht="15.75" customHeight="1">
      <c r="A220" s="56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 spans="1:30" ht="15.75" customHeight="1">
      <c r="A221" s="56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 spans="1:30" ht="15.75" customHeight="1">
      <c r="A222" s="56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 spans="1:30" ht="15.75" customHeight="1">
      <c r="A223" s="56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 spans="1:30" ht="15.75" customHeight="1">
      <c r="A224" s="56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 spans="1:30" ht="15.75" customHeight="1">
      <c r="A225" s="56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 spans="1:30" ht="15.75" customHeight="1">
      <c r="A226" s="56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 spans="1:30" ht="15.75" customHeight="1">
      <c r="A227" s="56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 spans="1:30" ht="15.75" customHeight="1">
      <c r="A228" s="56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 spans="1:30" ht="15.75" customHeight="1">
      <c r="A229" s="56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 spans="1:30" ht="15.75" customHeight="1">
      <c r="A230" s="56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 spans="1:30" ht="15.75" customHeight="1">
      <c r="A231" s="56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 spans="1:30" ht="15.75" customHeight="1">
      <c r="A232" s="56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 spans="1:30" ht="15.75" customHeight="1">
      <c r="A233" s="56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 spans="1:30" ht="15.75" customHeight="1">
      <c r="A234" s="56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 spans="1:30" ht="15.75" customHeight="1">
      <c r="A235" s="56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spans="1:30" ht="15.75" customHeight="1">
      <c r="A236" s="56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ht="15.75" customHeight="1">
      <c r="A237" s="56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spans="1:30" ht="15.75" customHeight="1">
      <c r="A238" s="56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 spans="1:30" ht="15.75" customHeight="1">
      <c r="A239" s="56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 spans="1:30" ht="15.75" customHeight="1">
      <c r="A240" s="56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 spans="1:30" ht="15.75" customHeight="1">
      <c r="A241" s="56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 spans="1:30" ht="15.75" customHeight="1">
      <c r="A242" s="56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 spans="1:30" ht="15.75" customHeight="1">
      <c r="A243" s="56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 spans="1:30" ht="15.75" customHeight="1">
      <c r="A244" s="56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 spans="1:30" ht="15.75" customHeight="1">
      <c r="A245" s="56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 spans="1:30" ht="15.75" customHeight="1">
      <c r="A246" s="56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 spans="1:30" ht="15.75" customHeight="1">
      <c r="A247" s="56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 spans="1:30" ht="15.75" customHeight="1">
      <c r="A248" s="56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 spans="1:30" ht="15.75" customHeight="1">
      <c r="A249" s="56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 spans="1:30" ht="15.75" customHeight="1">
      <c r="A250" s="56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 spans="1:30" ht="15.75" customHeight="1">
      <c r="A251" s="56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 spans="1:30" ht="15.75" customHeight="1">
      <c r="A252" s="56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 spans="1:30" ht="15.75" customHeight="1">
      <c r="A253" s="56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 spans="1:30" ht="15.75" customHeight="1">
      <c r="A254" s="56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 spans="1:30" ht="15.75" customHeight="1">
      <c r="A255" s="56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 spans="1:30" ht="15.75" customHeight="1">
      <c r="A256" s="56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 spans="1:30" ht="15.75" customHeight="1">
      <c r="A257" s="56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 spans="1:30" ht="15.75" customHeight="1">
      <c r="A258" s="56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 spans="1:30" ht="15.75" customHeight="1">
      <c r="A259" s="56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 spans="1:30" ht="15.75" customHeight="1">
      <c r="A260" s="56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 spans="1:30" ht="15.75" customHeight="1">
      <c r="A261" s="56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 spans="1:30" ht="15.75" customHeight="1">
      <c r="A262" s="56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 spans="1:30" ht="15.75" customHeight="1">
      <c r="A263" s="56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 spans="1:30" ht="15.75" customHeight="1">
      <c r="A264" s="56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 spans="1:30" ht="15.75" customHeight="1">
      <c r="A265" s="56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 spans="1:30" ht="15.75" customHeight="1">
      <c r="A266" s="56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 spans="1:30" ht="15.75" customHeight="1">
      <c r="A267" s="56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 spans="1:30" ht="15.75" customHeight="1">
      <c r="A268" s="56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 spans="1:30" ht="15.75" customHeight="1">
      <c r="A269" s="56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 spans="1:30" ht="15.75" customHeight="1">
      <c r="A270" s="56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 spans="1:30" ht="15.75" customHeight="1">
      <c r="A271" s="56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 spans="1:30" ht="15.75" customHeight="1">
      <c r="A272" s="56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 spans="1:30" ht="15.75" customHeight="1">
      <c r="A273" s="56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 spans="1:30" ht="15.75" customHeight="1">
      <c r="A274" s="56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 spans="1:30" ht="15.75" customHeight="1">
      <c r="A275" s="56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 spans="1:30" ht="15.75" customHeight="1">
      <c r="A276" s="56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 spans="1:30" ht="15.75" customHeight="1">
      <c r="A277" s="56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 spans="1:30" ht="15.75" customHeight="1">
      <c r="A278" s="56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 spans="1:30" ht="15.75" customHeight="1">
      <c r="A279" s="56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 spans="1:30" ht="15.75" customHeight="1">
      <c r="A280" s="56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 spans="1:30" ht="15.75" customHeight="1">
      <c r="A281" s="56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 spans="1:30" ht="15.75" customHeight="1">
      <c r="A282" s="56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 spans="1:30" ht="15.75" customHeight="1">
      <c r="A283" s="56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 spans="1:30" ht="15.75" customHeight="1">
      <c r="A284" s="56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 spans="1:30" ht="15.75" customHeight="1">
      <c r="A285" s="56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 spans="1:30" ht="15.75" customHeight="1">
      <c r="A286" s="56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 spans="1:30" ht="15.75" customHeight="1">
      <c r="A287" s="56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 spans="1:30" ht="15.75" customHeight="1">
      <c r="A288" s="56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 spans="1:30" ht="15.75" customHeight="1">
      <c r="A289" s="56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 spans="1:30" ht="15.75" customHeight="1">
      <c r="A290" s="56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 spans="1:30" ht="15.75" customHeight="1">
      <c r="A291" s="56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 spans="1:30" ht="15.75" customHeight="1">
      <c r="A292" s="56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 spans="1:30" ht="15.75" customHeight="1">
      <c r="A293" s="56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 spans="1:30" ht="15.75" customHeight="1">
      <c r="A294" s="56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 spans="1:30" ht="15.75" customHeight="1">
      <c r="A295" s="56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 spans="1:30" ht="15.75" customHeight="1">
      <c r="A296" s="56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 spans="1:30" ht="15.75" customHeight="1">
      <c r="A297" s="56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 spans="1:30" ht="15.75" customHeight="1">
      <c r="A298" s="56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 spans="1:30" ht="15.75" customHeight="1">
      <c r="A299" s="56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 spans="1:30" ht="15.75" customHeight="1">
      <c r="A300" s="56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 spans="1:30" ht="15.75" customHeight="1">
      <c r="A301" s="56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 spans="1:30" ht="15.75" customHeight="1">
      <c r="A302" s="56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 spans="1:30" ht="15.75" customHeight="1">
      <c r="A303" s="56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 spans="1:30" ht="15.75" customHeight="1">
      <c r="A304" s="56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 spans="1:30" ht="15.75" customHeight="1">
      <c r="A305" s="56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 spans="1:30" ht="15.75" customHeight="1">
      <c r="A306" s="56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 spans="1:30" ht="15.75" customHeight="1">
      <c r="A307" s="56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 spans="1:30" ht="15.75" customHeight="1">
      <c r="A308" s="56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 spans="1:30" ht="15.75" customHeight="1">
      <c r="A309" s="56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 spans="1:30" ht="15.75" customHeight="1">
      <c r="A310" s="56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 spans="1:30" ht="15.75" customHeight="1">
      <c r="A311" s="56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 spans="1:30" ht="15.75" customHeight="1">
      <c r="A312" s="56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 spans="1:30" ht="15.75" customHeight="1">
      <c r="A313" s="56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 spans="1:30" ht="15.75" customHeight="1">
      <c r="A314" s="56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 spans="1:30" ht="15.75" customHeight="1">
      <c r="A315" s="56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 spans="1:30" ht="15.75" customHeight="1">
      <c r="A316" s="56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 spans="1:30" ht="15.75" customHeight="1">
      <c r="A317" s="56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 spans="1:30" ht="15.75" customHeight="1">
      <c r="A318" s="56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 spans="1:30" ht="15.75" customHeight="1">
      <c r="A319" s="56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 spans="1:30" ht="15.75" customHeight="1">
      <c r="A320" s="56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 spans="1:30" ht="15.75" customHeight="1">
      <c r="A321" s="56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 spans="1:30" ht="15.75" customHeight="1">
      <c r="A322" s="56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 spans="1:30" ht="15.75" customHeight="1">
      <c r="A323" s="56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 spans="1:30" ht="15.75" customHeight="1">
      <c r="A324" s="56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 spans="1:30" ht="15.75" customHeight="1">
      <c r="A325" s="56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 spans="1:30" ht="15.75" customHeight="1">
      <c r="A326" s="56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 spans="1:30" ht="15.75" customHeight="1">
      <c r="A327" s="56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 spans="1:30" ht="15.75" customHeight="1">
      <c r="A328" s="56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 spans="1:30" ht="15.75" customHeight="1">
      <c r="A329" s="56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 spans="1:30" ht="15.75" customHeight="1">
      <c r="A330" s="56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 spans="1:30" ht="15.75" customHeight="1">
      <c r="A331" s="56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 spans="1:30" ht="15.75" customHeight="1">
      <c r="A332" s="56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 spans="1:30" ht="15.75" customHeight="1">
      <c r="A333" s="56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 spans="1:30" ht="15.75" customHeight="1">
      <c r="A334" s="56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 spans="1:30" ht="15.75" customHeight="1">
      <c r="A335" s="56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 spans="1:30" ht="15.75" customHeight="1">
      <c r="A336" s="56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 spans="1:30" ht="15.75" customHeight="1">
      <c r="A337" s="56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 spans="1:30" ht="15.75" customHeight="1">
      <c r="A338" s="56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 spans="1:30" ht="15.75" customHeight="1">
      <c r="A339" s="56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 spans="1:30" ht="15.75" customHeight="1">
      <c r="A340" s="56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 spans="1:30" ht="15.75" customHeight="1">
      <c r="A341" s="56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 spans="1:30" ht="15.75" customHeight="1">
      <c r="A342" s="56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 spans="1:30" ht="15.75" customHeight="1">
      <c r="A343" s="56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 spans="1:30" ht="15.75" customHeight="1">
      <c r="A344" s="56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 spans="1:30" ht="15.75" customHeight="1">
      <c r="A345" s="56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 spans="1:30" ht="15.75" customHeight="1">
      <c r="A346" s="56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 spans="1:30" ht="15.75" customHeight="1">
      <c r="A347" s="56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 spans="1:30" ht="15.75" customHeight="1">
      <c r="A348" s="56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 spans="1:30" ht="15.75" customHeight="1">
      <c r="A349" s="56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 spans="1:30" ht="15.75" customHeight="1">
      <c r="A350" s="56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 spans="1:30" ht="15.75" customHeight="1">
      <c r="A351" s="56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 spans="1:30" ht="15.75" customHeight="1">
      <c r="A352" s="56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 spans="1:30" ht="15.75" customHeight="1">
      <c r="A353" s="56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 spans="1:30" ht="15.75" customHeight="1">
      <c r="A354" s="56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 spans="1:30" ht="15.75" customHeight="1">
      <c r="A355" s="56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 spans="1:30" ht="15.75" customHeight="1">
      <c r="A356" s="56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 spans="1:30" ht="15.75" customHeight="1">
      <c r="A357" s="56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 spans="1:30" ht="15.75" customHeight="1">
      <c r="A358" s="56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 spans="1:30" ht="15.75" customHeight="1">
      <c r="A359" s="56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 spans="1:30" ht="15.75" customHeight="1">
      <c r="A360" s="56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 spans="1:30" ht="15.75" customHeight="1">
      <c r="A361" s="56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 spans="1:30" ht="15.75" customHeight="1">
      <c r="A362" s="56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 spans="1:30" ht="15.75" customHeight="1">
      <c r="A363" s="56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 spans="1:30" ht="15.75" customHeight="1">
      <c r="A364" s="56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 spans="1:30" ht="15.75" customHeight="1">
      <c r="A365" s="56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 spans="1:30" ht="15.75" customHeight="1">
      <c r="A366" s="56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 spans="1:30" ht="15.75" customHeight="1">
      <c r="A367" s="56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 spans="1:30" ht="15.75" customHeight="1">
      <c r="A368" s="56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 spans="1:30" ht="15.75" customHeight="1">
      <c r="A369" s="56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 spans="1:30" ht="15.75" customHeight="1">
      <c r="A370" s="56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 spans="1:30" ht="15.75" customHeight="1">
      <c r="A371" s="56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 spans="1:30" ht="15.75" customHeight="1">
      <c r="A372" s="56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 spans="1:30" ht="15.75" customHeight="1">
      <c r="A373" s="56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 spans="1:30" ht="15.75" customHeight="1">
      <c r="A374" s="56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 spans="1:30" ht="15.75" customHeight="1">
      <c r="A375" s="56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 spans="1:30" ht="15.75" customHeight="1">
      <c r="A376" s="56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 spans="1:30" ht="15.75" customHeight="1">
      <c r="A377" s="56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 spans="1:30" ht="15.75" customHeight="1">
      <c r="A378" s="56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 spans="1:30" ht="15.75" customHeight="1">
      <c r="A379" s="56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 spans="1:30" ht="15.75" customHeight="1">
      <c r="A380" s="56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 spans="1:30" ht="15.75" customHeight="1">
      <c r="A381" s="56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 spans="1:30" ht="15.75" customHeight="1">
      <c r="A382" s="56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 spans="1:30" ht="15.75" customHeight="1">
      <c r="A383" s="56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 spans="1:30" ht="15.75" customHeight="1">
      <c r="A384" s="56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 spans="1:30" ht="15.75" customHeight="1">
      <c r="A385" s="56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 spans="1:30" ht="15.75" customHeight="1">
      <c r="A386" s="56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 spans="1:30" ht="15.75" customHeight="1">
      <c r="A387" s="56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 spans="1:30" ht="15.75" customHeight="1">
      <c r="A388" s="56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 spans="1:30" ht="15.75" customHeight="1">
      <c r="A389" s="56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 spans="1:30" ht="15.75" customHeight="1">
      <c r="A390" s="56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 spans="1:30" ht="15.75" customHeight="1">
      <c r="A391" s="56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 spans="1:30" ht="15.75" customHeight="1">
      <c r="A392" s="56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 spans="1:30" ht="15.75" customHeight="1">
      <c r="A393" s="56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 spans="1:30" ht="15.75" customHeight="1">
      <c r="A394" s="56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 spans="1:30" ht="15.75" customHeight="1">
      <c r="A395" s="56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 spans="1:30" ht="15.75" customHeight="1">
      <c r="A396" s="56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 spans="1:30" ht="15.75" customHeight="1">
      <c r="A397" s="56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 spans="1:30" ht="15.75" customHeight="1">
      <c r="A398" s="56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 spans="1:30" ht="15.75" customHeight="1">
      <c r="A399" s="56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 spans="1:30" ht="15.75" customHeight="1">
      <c r="A400" s="56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 spans="1:30" ht="15.75" customHeight="1">
      <c r="A401" s="56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 spans="1:30" ht="15.75" customHeight="1">
      <c r="A402" s="56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 spans="1:30" ht="15.75" customHeight="1">
      <c r="A403" s="56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 spans="1:30" ht="15.75" customHeight="1">
      <c r="A404" s="56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 spans="1:30" ht="15.75" customHeight="1">
      <c r="A405" s="56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 spans="1:30" ht="15.75" customHeight="1">
      <c r="A406" s="56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 spans="1:30" ht="15.75" customHeight="1">
      <c r="A407" s="56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 spans="1:30" ht="15.75" customHeight="1">
      <c r="A408" s="56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 spans="1:30" ht="15.75" customHeight="1">
      <c r="A409" s="56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 spans="1:30" ht="15.75" customHeight="1">
      <c r="A410" s="56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 spans="1:30" ht="15.75" customHeight="1">
      <c r="A411" s="56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 spans="1:30" ht="15.75" customHeight="1">
      <c r="A412" s="56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 spans="1:30" ht="15.75" customHeight="1">
      <c r="A413" s="56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 spans="1:30" ht="15.75" customHeight="1">
      <c r="A414" s="56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 spans="1:30" ht="15.75" customHeight="1">
      <c r="A415" s="56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 spans="1:30" ht="15.75" customHeight="1">
      <c r="A416" s="56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 spans="1:30" ht="15.75" customHeight="1">
      <c r="A417" s="56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 spans="1:30" ht="15.75" customHeight="1">
      <c r="A418" s="56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 spans="1:30" ht="15.75" customHeight="1">
      <c r="A419" s="56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 spans="1:30" ht="15.75" customHeight="1">
      <c r="A420" s="56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 spans="1:30" ht="15.75" customHeight="1">
      <c r="A421" s="56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 spans="1:30" ht="15.75" customHeight="1">
      <c r="A422" s="56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 spans="1:30" ht="15.75" customHeight="1">
      <c r="A423" s="56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 spans="1:30" ht="15.75" customHeight="1">
      <c r="A424" s="56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 spans="1:30" ht="15.75" customHeight="1">
      <c r="A425" s="56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 spans="1:30" ht="15.75" customHeight="1">
      <c r="A426" s="56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 spans="1:30" ht="15.75" customHeight="1">
      <c r="A427" s="56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 spans="1:30" ht="15.75" customHeight="1">
      <c r="A428" s="56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 spans="1:30" ht="15.75" customHeight="1">
      <c r="A429" s="56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 spans="1:30" ht="15.75" customHeight="1">
      <c r="A430" s="56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 spans="1:30" ht="15.75" customHeight="1">
      <c r="A431" s="56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 spans="1:30" ht="15.75" customHeight="1">
      <c r="A432" s="56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 spans="1:30" ht="15.75" customHeight="1">
      <c r="A433" s="56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 spans="1:30" ht="15.75" customHeight="1">
      <c r="A434" s="56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 spans="1:30" ht="15.75" customHeight="1">
      <c r="A435" s="56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 spans="1:30" ht="15.75" customHeight="1">
      <c r="A436" s="56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 spans="1:30" ht="15.75" customHeight="1">
      <c r="A437" s="56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 spans="1:30" ht="15.75" customHeight="1">
      <c r="A438" s="56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 spans="1:30" ht="15.75" customHeight="1">
      <c r="A439" s="56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 spans="1:30" ht="15.75" customHeight="1">
      <c r="A440" s="56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 spans="1:30" ht="15.75" customHeight="1">
      <c r="A441" s="56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 spans="1:30" ht="15.75" customHeight="1">
      <c r="A442" s="56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 spans="1:30" ht="15.75" customHeight="1">
      <c r="A443" s="56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 spans="1:30" ht="15.75" customHeight="1">
      <c r="A444" s="56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 spans="1:30" ht="15.75" customHeight="1">
      <c r="A445" s="56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 spans="1:30" ht="15.75" customHeight="1">
      <c r="A446" s="56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 spans="1:30" ht="15.75" customHeight="1">
      <c r="A447" s="56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 spans="1:30" ht="15.75" customHeight="1">
      <c r="A448" s="56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 spans="1:30" ht="15.75" customHeight="1">
      <c r="A449" s="56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 spans="1:30" ht="15.75" customHeight="1">
      <c r="A450" s="56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 spans="1:30" ht="15.75" customHeight="1">
      <c r="A451" s="56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 spans="1:30" ht="15.75" customHeight="1">
      <c r="A452" s="56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 spans="1:30" ht="15.75" customHeight="1">
      <c r="A453" s="56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 spans="1:30" ht="15.75" customHeight="1">
      <c r="A454" s="56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 spans="1:30" ht="15.75" customHeight="1">
      <c r="A455" s="56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 spans="1:30" ht="15.75" customHeight="1">
      <c r="A456" s="56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 spans="1:30" ht="15.75" customHeight="1">
      <c r="A457" s="56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 spans="1:30" ht="15.75" customHeight="1">
      <c r="A458" s="56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 spans="1:30" ht="15.75" customHeight="1">
      <c r="A459" s="56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 spans="1:30" ht="15.75" customHeight="1">
      <c r="A460" s="56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 spans="1:30" ht="15.75" customHeight="1">
      <c r="A461" s="56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 spans="1:30" ht="15.75" customHeight="1">
      <c r="A462" s="56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 spans="1:30" ht="15.75" customHeight="1">
      <c r="A463" s="56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 spans="1:30" ht="15.75" customHeight="1">
      <c r="A464" s="56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 spans="1:30" ht="15.75" customHeight="1">
      <c r="A465" s="56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 spans="1:30" ht="15.75" customHeight="1">
      <c r="A466" s="56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 spans="1:30" ht="15.75" customHeight="1">
      <c r="A467" s="56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 spans="1:30" ht="15.75" customHeight="1">
      <c r="A468" s="56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 spans="1:30" ht="15.75" customHeight="1">
      <c r="A469" s="56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 spans="1:30" ht="15.75" customHeight="1">
      <c r="A470" s="56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 spans="1:30" ht="15.75" customHeight="1">
      <c r="A471" s="56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 spans="1:30" ht="15.75" customHeight="1">
      <c r="A472" s="56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 spans="1:30" ht="15.75" customHeight="1">
      <c r="A473" s="56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 spans="1:30" ht="15.75" customHeight="1">
      <c r="A474" s="56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 spans="1:30" ht="15.75" customHeight="1">
      <c r="A475" s="56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 spans="1:30" ht="15.75" customHeight="1">
      <c r="A476" s="56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 spans="1:30" ht="15.75" customHeight="1">
      <c r="A477" s="56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 spans="1:30" ht="15.75" customHeight="1">
      <c r="A478" s="56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 spans="1:30" ht="15.75" customHeight="1">
      <c r="A479" s="56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 spans="1:30" ht="15.75" customHeight="1">
      <c r="A480" s="56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 spans="1:30" ht="15.75" customHeight="1">
      <c r="A481" s="56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 spans="1:30" ht="15.75" customHeight="1">
      <c r="A482" s="56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 spans="1:30" ht="15.75" customHeight="1">
      <c r="A483" s="56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 spans="1:30" ht="15.75" customHeight="1">
      <c r="A484" s="56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 spans="1:30" ht="15.75" customHeight="1">
      <c r="A485" s="56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 spans="1:30" ht="15.75" customHeight="1">
      <c r="A486" s="56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 spans="1:30" ht="15.75" customHeight="1">
      <c r="A487" s="56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 spans="1:30" ht="15.75" customHeight="1">
      <c r="A488" s="56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 spans="1:30" ht="15.75" customHeight="1">
      <c r="A489" s="56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 spans="1:30" ht="15.75" customHeight="1">
      <c r="A490" s="56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 spans="1:30" ht="15.75" customHeight="1">
      <c r="A491" s="56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 spans="1:30" ht="15.75" customHeight="1">
      <c r="A492" s="56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 spans="1:30" ht="15.75" customHeight="1">
      <c r="A493" s="56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 spans="1:30" ht="15.75" customHeight="1">
      <c r="A494" s="56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 spans="1:30" ht="15.75" customHeight="1">
      <c r="A495" s="56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 spans="1:30" ht="15.75" customHeight="1">
      <c r="A496" s="56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 spans="1:30" ht="15.75" customHeight="1">
      <c r="A497" s="56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 spans="1:30" ht="15.75" customHeight="1">
      <c r="A498" s="56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 spans="1:30" ht="15.75" customHeight="1">
      <c r="A499" s="56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 spans="1:30" ht="15.75" customHeight="1">
      <c r="A500" s="56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 spans="1:30" ht="15.75" customHeight="1">
      <c r="A501" s="56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 spans="1:30" ht="15.75" customHeight="1">
      <c r="A502" s="56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 spans="1:30" ht="15.75" customHeight="1">
      <c r="A503" s="56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 spans="1:30" ht="15.75" customHeight="1">
      <c r="A504" s="56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 spans="1:30" ht="15.75" customHeight="1">
      <c r="A505" s="56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 spans="1:30" ht="15.75" customHeight="1">
      <c r="A506" s="56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 spans="1:30" ht="15.75" customHeight="1">
      <c r="A507" s="56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 spans="1:30" ht="15.75" customHeight="1">
      <c r="A508" s="56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 spans="1:30" ht="15.75" customHeight="1">
      <c r="A509" s="56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 spans="1:30" ht="15.75" customHeight="1">
      <c r="A510" s="56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 spans="1:30" ht="15.75" customHeight="1">
      <c r="A511" s="56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 spans="1:30" ht="15.75" customHeight="1">
      <c r="A512" s="56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 spans="1:30" ht="15.75" customHeight="1">
      <c r="A513" s="56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 spans="1:30" ht="15.75" customHeight="1">
      <c r="A514" s="56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 spans="1:30" ht="15.75" customHeight="1">
      <c r="A515" s="56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 spans="1:30" ht="15.75" customHeight="1">
      <c r="A516" s="56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 spans="1:30" ht="15.75" customHeight="1">
      <c r="A517" s="56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 spans="1:30" ht="15.75" customHeight="1">
      <c r="A518" s="56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 spans="1:30" ht="15.75" customHeight="1">
      <c r="A519" s="56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 spans="1:30" ht="15.75" customHeight="1">
      <c r="A520" s="56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 spans="1:30" ht="15.75" customHeight="1">
      <c r="A521" s="56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 spans="1:30" ht="15.75" customHeight="1">
      <c r="A522" s="56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 spans="1:30" ht="15.75" customHeight="1">
      <c r="A523" s="56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 spans="1:30" ht="15.75" customHeight="1">
      <c r="A524" s="56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 spans="1:30" ht="15.75" customHeight="1">
      <c r="A525" s="56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 spans="1:30" ht="15.75" customHeight="1">
      <c r="A526" s="56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 spans="1:30" ht="15.75" customHeight="1">
      <c r="A527" s="56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 spans="1:30" ht="15.75" customHeight="1">
      <c r="A528" s="56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 spans="1:30" ht="15.75" customHeight="1">
      <c r="A529" s="56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 spans="1:30" ht="15.75" customHeight="1">
      <c r="A530" s="56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 spans="1:30" ht="15.75" customHeight="1">
      <c r="A531" s="56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 spans="1:30" ht="15.75" customHeight="1">
      <c r="A532" s="56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 spans="1:30" ht="15.75" customHeight="1">
      <c r="A533" s="56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 spans="1:30" ht="15.75" customHeight="1">
      <c r="A534" s="56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 spans="1:30" ht="15.75" customHeight="1">
      <c r="A535" s="56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 spans="1:30" ht="15.75" customHeight="1">
      <c r="A536" s="56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 spans="1:30" ht="15.75" customHeight="1">
      <c r="A537" s="56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 spans="1:30" ht="15.75" customHeight="1">
      <c r="A538" s="56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 spans="1:30" ht="15.75" customHeight="1">
      <c r="A539" s="56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 spans="1:30" ht="15.75" customHeight="1">
      <c r="A540" s="56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 spans="1:30" ht="15.75" customHeight="1">
      <c r="A541" s="56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 spans="1:30" ht="15.75" customHeight="1">
      <c r="A542" s="56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 spans="1:30" ht="15.75" customHeight="1">
      <c r="A543" s="56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 spans="1:30" ht="15.75" customHeight="1">
      <c r="A544" s="56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 spans="1:30" ht="15.75" customHeight="1">
      <c r="A545" s="56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 spans="1:30" ht="15.75" customHeight="1">
      <c r="A546" s="56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 spans="1:30" ht="15.75" customHeight="1">
      <c r="A547" s="56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 spans="1:30" ht="15.75" customHeight="1">
      <c r="A548" s="56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 spans="1:30" ht="15.75" customHeight="1">
      <c r="A549" s="56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 spans="1:30" ht="15.75" customHeight="1">
      <c r="A550" s="56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 spans="1:30" ht="15.75" customHeight="1">
      <c r="A551" s="56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 spans="1:30" ht="15.75" customHeight="1">
      <c r="A552" s="56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 spans="1:30" ht="15.75" customHeight="1">
      <c r="A553" s="56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 spans="1:30" ht="15.75" customHeight="1">
      <c r="A554" s="56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 spans="1:30" ht="15.75" customHeight="1">
      <c r="A555" s="56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 spans="1:30" ht="15.75" customHeight="1">
      <c r="A556" s="56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 spans="1:30" ht="15.75" customHeight="1">
      <c r="A557" s="56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 spans="1:30" ht="15.75" customHeight="1">
      <c r="A558" s="56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 spans="1:30" ht="15.75" customHeight="1">
      <c r="A559" s="56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 spans="1:30" ht="15.75" customHeight="1">
      <c r="A560" s="56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 spans="1:30" ht="15.75" customHeight="1">
      <c r="A561" s="56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 spans="1:30" ht="15.75" customHeight="1">
      <c r="A562" s="56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 spans="1:30" ht="15.75" customHeight="1">
      <c r="A563" s="56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 spans="1:30" ht="15.75" customHeight="1">
      <c r="A564" s="56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 spans="1:30" ht="15.75" customHeight="1">
      <c r="A565" s="56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 spans="1:30" ht="15.75" customHeight="1">
      <c r="A566" s="56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 spans="1:30" ht="15.75" customHeight="1">
      <c r="A567" s="56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 spans="1:30" ht="15.75" customHeight="1">
      <c r="A568" s="56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 spans="1:30" ht="15.75" customHeight="1">
      <c r="A569" s="56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 spans="1:30" ht="15.75" customHeight="1">
      <c r="A570" s="56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 spans="1:30" ht="15.75" customHeight="1">
      <c r="A571" s="56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 spans="1:30" ht="15.75" customHeight="1">
      <c r="A572" s="56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 spans="1:30" ht="15.75" customHeight="1">
      <c r="A573" s="56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 spans="1:30" ht="15.75" customHeight="1">
      <c r="A574" s="56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 spans="1:30" ht="15.75" customHeight="1">
      <c r="A575" s="56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 spans="1:30" ht="15.75" customHeight="1">
      <c r="A576" s="56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 spans="1:30" ht="15.75" customHeight="1">
      <c r="A577" s="56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 spans="1:30" ht="15.75" customHeight="1">
      <c r="A578" s="56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 spans="1:30" ht="15.75" customHeight="1">
      <c r="A579" s="56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 spans="1:30" ht="15.75" customHeight="1">
      <c r="A580" s="56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 spans="1:30" ht="15.75" customHeight="1">
      <c r="A581" s="56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 spans="1:30" ht="15.75" customHeight="1">
      <c r="A582" s="56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 spans="1:30" ht="15.75" customHeight="1">
      <c r="A583" s="56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 spans="1:30" ht="15.75" customHeight="1">
      <c r="A584" s="56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 spans="1:30" ht="15.75" customHeight="1">
      <c r="A585" s="56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 spans="1:30" ht="15.75" customHeight="1">
      <c r="A586" s="56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 spans="1:30" ht="15.75" customHeight="1">
      <c r="A587" s="56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 spans="1:30" ht="15.75" customHeight="1">
      <c r="A588" s="56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 spans="1:30" ht="15.75" customHeight="1">
      <c r="A589" s="56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 spans="1:30" ht="15.75" customHeight="1">
      <c r="A590" s="56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 spans="1:30" ht="15.75" customHeight="1">
      <c r="A591" s="56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 spans="1:30" ht="15.75" customHeight="1">
      <c r="A592" s="56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 spans="1:30" ht="15.75" customHeight="1">
      <c r="A593" s="56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 spans="1:30" ht="15.75" customHeight="1">
      <c r="A594" s="56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 spans="1:30" ht="15.75" customHeight="1">
      <c r="A595" s="56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 spans="1:30" ht="15.75" customHeight="1">
      <c r="A596" s="56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 spans="1:30" ht="15.75" customHeight="1">
      <c r="A597" s="56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 spans="1:30" ht="15.75" customHeight="1">
      <c r="A598" s="56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 spans="1:30" ht="15.75" customHeight="1">
      <c r="A599" s="56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 spans="1:30" ht="15.75" customHeight="1">
      <c r="A600" s="56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 spans="1:30" ht="15.75" customHeight="1">
      <c r="A601" s="56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 spans="1:30" ht="15.75" customHeight="1">
      <c r="A602" s="56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 spans="1:30" ht="15.75" customHeight="1">
      <c r="A603" s="56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 spans="1:30" ht="15.75" customHeight="1">
      <c r="A604" s="56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 spans="1:30" ht="15.75" customHeight="1">
      <c r="A605" s="56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 spans="1:30" ht="15.75" customHeight="1">
      <c r="A606" s="56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 spans="1:30" ht="15.75" customHeight="1">
      <c r="A607" s="56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 spans="1:30" ht="15.75" customHeight="1">
      <c r="A608" s="56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 spans="1:30" ht="15.75" customHeight="1">
      <c r="A609" s="56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 spans="1:30" ht="15.75" customHeight="1">
      <c r="A610" s="56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 spans="1:30" ht="15.75" customHeight="1">
      <c r="A611" s="56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 spans="1:30" ht="15.75" customHeight="1">
      <c r="A612" s="56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 spans="1:30" ht="15.75" customHeight="1">
      <c r="A613" s="56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 spans="1:30" ht="15.75" customHeight="1">
      <c r="A614" s="56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 spans="1:30" ht="15.75" customHeight="1">
      <c r="A615" s="56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 spans="1:30" ht="15.75" customHeight="1">
      <c r="A616" s="56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 spans="1:30" ht="15.75" customHeight="1">
      <c r="A617" s="56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 spans="1:30" ht="15.75" customHeight="1">
      <c r="A618" s="56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 spans="1:30" ht="15.75" customHeight="1">
      <c r="A619" s="56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 spans="1:30" ht="15.75" customHeight="1">
      <c r="A620" s="56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 spans="1:30" ht="15.75" customHeight="1">
      <c r="A621" s="56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 spans="1:30" ht="15.75" customHeight="1">
      <c r="A622" s="56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 spans="1:30" ht="15.75" customHeight="1">
      <c r="A623" s="56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 spans="1:30" ht="15.75" customHeight="1">
      <c r="A624" s="56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 spans="1:30" ht="15.75" customHeight="1">
      <c r="A625" s="56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 spans="1:30" ht="15.75" customHeight="1">
      <c r="A626" s="56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 spans="1:30" ht="15.75" customHeight="1">
      <c r="A627" s="56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 spans="1:30" ht="15.75" customHeight="1">
      <c r="A628" s="56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 spans="1:30" ht="15.75" customHeight="1">
      <c r="A629" s="56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 spans="1:30" ht="15.75" customHeight="1">
      <c r="A630" s="56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 spans="1:30" ht="15.75" customHeight="1">
      <c r="A631" s="56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 spans="1:30" ht="15.75" customHeight="1">
      <c r="A632" s="56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 spans="1:30" ht="15.75" customHeight="1">
      <c r="A633" s="56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 spans="1:30" ht="15.75" customHeight="1">
      <c r="A634" s="56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 spans="1:30" ht="15.75" customHeight="1">
      <c r="A635" s="56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 spans="1:30" ht="15.75" customHeight="1">
      <c r="A636" s="56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 spans="1:30" ht="15.75" customHeight="1">
      <c r="A637" s="56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 spans="1:30" ht="15.75" customHeight="1">
      <c r="A638" s="56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 spans="1:30" ht="15.75" customHeight="1">
      <c r="A639" s="56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 spans="1:30" ht="15.75" customHeight="1">
      <c r="A640" s="56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 spans="1:30" ht="15.75" customHeight="1">
      <c r="A641" s="56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 spans="1:30" ht="15.75" customHeight="1">
      <c r="A642" s="56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 spans="1:30" ht="15.75" customHeight="1">
      <c r="A643" s="56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 spans="1:30" ht="15.75" customHeight="1">
      <c r="A644" s="56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 spans="1:30" ht="15.75" customHeight="1">
      <c r="A645" s="56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 spans="1:30" ht="15.75" customHeight="1">
      <c r="A646" s="56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 spans="1:30" ht="15.75" customHeight="1">
      <c r="A647" s="56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 spans="1:30" ht="15.75" customHeight="1">
      <c r="A648" s="56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 spans="1:30" ht="15.75" customHeight="1">
      <c r="A649" s="56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 spans="1:30" ht="15.75" customHeight="1">
      <c r="A650" s="56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 spans="1:30" ht="15.75" customHeight="1">
      <c r="A651" s="56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 spans="1:30" ht="15.75" customHeight="1">
      <c r="A652" s="56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 spans="1:30" ht="15.75" customHeight="1">
      <c r="A653" s="56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 spans="1:30" ht="15.75" customHeight="1">
      <c r="A654" s="56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 spans="1:30" ht="15.75" customHeight="1">
      <c r="A655" s="56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 spans="1:30" ht="15.75" customHeight="1">
      <c r="A656" s="56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 spans="1:30" ht="15.75" customHeight="1">
      <c r="A657" s="56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 spans="1:30" ht="15.75" customHeight="1">
      <c r="A658" s="56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 spans="1:30" ht="15.75" customHeight="1">
      <c r="A659" s="56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 spans="1:30" ht="15.75" customHeight="1">
      <c r="A660" s="56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 spans="1:30" ht="15.75" customHeight="1">
      <c r="A661" s="56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 spans="1:30" ht="15.75" customHeight="1">
      <c r="A662" s="56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 spans="1:30" ht="15.75" customHeight="1">
      <c r="A663" s="56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 spans="1:30" ht="15.75" customHeight="1">
      <c r="A664" s="56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 spans="1:30" ht="15.75" customHeight="1">
      <c r="A665" s="56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 spans="1:30" ht="15.75" customHeight="1">
      <c r="A666" s="56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 spans="1:30" ht="15.75" customHeight="1">
      <c r="A667" s="56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 spans="1:30" ht="15.75" customHeight="1">
      <c r="A668" s="56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 spans="1:30" ht="15.75" customHeight="1">
      <c r="A669" s="56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 spans="1:30" ht="15.75" customHeight="1">
      <c r="A670" s="56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 spans="1:30" ht="15.75" customHeight="1">
      <c r="A671" s="56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 spans="1:30" ht="15.75" customHeight="1">
      <c r="A672" s="56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 spans="1:30" ht="15.75" customHeight="1">
      <c r="A673" s="56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 spans="1:30" ht="15.75" customHeight="1">
      <c r="A674" s="56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 spans="1:30" ht="15.75" customHeight="1">
      <c r="A675" s="56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 spans="1:30" ht="15.75" customHeight="1">
      <c r="A676" s="56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 spans="1:30" ht="15.75" customHeight="1">
      <c r="A677" s="56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 spans="1:30" ht="15.75" customHeight="1">
      <c r="A678" s="56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 spans="1:30" ht="15.75" customHeight="1">
      <c r="A679" s="56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 spans="1:30" ht="15.75" customHeight="1">
      <c r="A680" s="56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 spans="1:30" ht="15.75" customHeight="1">
      <c r="A681" s="56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 spans="1:30" ht="15.75" customHeight="1">
      <c r="A682" s="56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 spans="1:30" ht="15.75" customHeight="1">
      <c r="A683" s="56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 spans="1:30" ht="15.75" customHeight="1">
      <c r="A684" s="56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 spans="1:30" ht="15.75" customHeight="1">
      <c r="A685" s="56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 spans="1:30" ht="15.75" customHeight="1">
      <c r="A686" s="56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 spans="1:30" ht="15.75" customHeight="1">
      <c r="A687" s="56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 spans="1:30" ht="15.75" customHeight="1">
      <c r="A688" s="56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 spans="1:30" ht="15.75" customHeight="1">
      <c r="A689" s="56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 spans="1:30" ht="15.75" customHeight="1">
      <c r="A690" s="56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 spans="1:30" ht="15.75" customHeight="1">
      <c r="A691" s="56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 spans="1:30" ht="15.75" customHeight="1">
      <c r="A692" s="56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 spans="1:30" ht="15.75" customHeight="1">
      <c r="A693" s="56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 spans="1:30" ht="15.75" customHeight="1">
      <c r="A694" s="56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 spans="1:30" ht="15.75" customHeight="1">
      <c r="A695" s="56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 spans="1:30" ht="15.75" customHeight="1">
      <c r="A696" s="56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 spans="1:30" ht="15.75" customHeight="1">
      <c r="A697" s="56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 spans="1:30" ht="15.75" customHeight="1">
      <c r="A698" s="56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 spans="1:30" ht="15.75" customHeight="1">
      <c r="A699" s="56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 spans="1:30" ht="15.75" customHeight="1">
      <c r="A700" s="56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 spans="1:30" ht="15.75" customHeight="1">
      <c r="A701" s="56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 spans="1:30" ht="15.75" customHeight="1">
      <c r="A702" s="56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 spans="1:30" ht="15.75" customHeight="1">
      <c r="A703" s="56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 spans="1:30" ht="15.75" customHeight="1">
      <c r="A704" s="56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 spans="1:30" ht="15.75" customHeight="1">
      <c r="A705" s="56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 spans="1:30" ht="15.75" customHeight="1">
      <c r="A706" s="56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 spans="1:30" ht="15.75" customHeight="1">
      <c r="A707" s="56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 spans="1:30" ht="15.75" customHeight="1">
      <c r="A708" s="56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 spans="1:30" ht="15.75" customHeight="1">
      <c r="A709" s="56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 spans="1:30" ht="15.75" customHeight="1">
      <c r="A710" s="56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 spans="1:30" ht="15.75" customHeight="1">
      <c r="A711" s="56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 spans="1:30" ht="15.75" customHeight="1">
      <c r="A712" s="56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 spans="1:30" ht="15.75" customHeight="1">
      <c r="A713" s="56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 spans="1:30" ht="15.75" customHeight="1">
      <c r="A714" s="56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 spans="1:30" ht="15.75" customHeight="1">
      <c r="A715" s="56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 spans="1:30" ht="15.75" customHeight="1">
      <c r="A716" s="56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 spans="1:30" ht="15.75" customHeight="1">
      <c r="A717" s="56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 spans="1:30" ht="15.75" customHeight="1">
      <c r="A718" s="56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 spans="1:30" ht="15.75" customHeight="1">
      <c r="A719" s="56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 spans="1:30" ht="15.75" customHeight="1">
      <c r="A720" s="56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 spans="1:30" ht="15.75" customHeight="1">
      <c r="A721" s="56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 spans="1:30" ht="15.75" customHeight="1">
      <c r="A722" s="56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 spans="1:30" ht="15.75" customHeight="1">
      <c r="A723" s="56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 spans="1:30" ht="15.75" customHeight="1">
      <c r="A724" s="56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 spans="1:30" ht="15.75" customHeight="1">
      <c r="A725" s="56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 spans="1:30" ht="15.75" customHeight="1">
      <c r="A726" s="56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 spans="1:30" ht="15.75" customHeight="1">
      <c r="A727" s="56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 spans="1:30" ht="15.75" customHeight="1">
      <c r="A728" s="56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 spans="1:30" ht="15.75" customHeight="1">
      <c r="A729" s="56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 spans="1:30" ht="15.75" customHeight="1">
      <c r="A730" s="56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 spans="1:30" ht="15.75" customHeight="1">
      <c r="A731" s="56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 spans="1:30" ht="15.75" customHeight="1">
      <c r="A732" s="56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 spans="1:30" ht="15.75" customHeight="1">
      <c r="A733" s="56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 spans="1:30" ht="15.75" customHeight="1">
      <c r="A734" s="56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 spans="1:30" ht="15.75" customHeight="1">
      <c r="A735" s="56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 spans="1:30" ht="15.75" customHeight="1">
      <c r="A736" s="56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 spans="1:30" ht="15.75" customHeight="1">
      <c r="A737" s="56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 spans="1:30" ht="15.75" customHeight="1">
      <c r="A738" s="56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 spans="1:30" ht="15.75" customHeight="1">
      <c r="A739" s="56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 spans="1:30" ht="15.75" customHeight="1">
      <c r="A740" s="56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 spans="1:30" ht="15.75" customHeight="1">
      <c r="A741" s="56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 spans="1:30" ht="15.75" customHeight="1">
      <c r="A742" s="56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 spans="1:30" ht="15.75" customHeight="1">
      <c r="A743" s="56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 spans="1:30" ht="15.75" customHeight="1">
      <c r="A744" s="56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 spans="1:30" ht="15.75" customHeight="1">
      <c r="A745" s="56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 spans="1:30" ht="15.75" customHeight="1">
      <c r="A746" s="56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 spans="1:30" ht="15.75" customHeight="1">
      <c r="A747" s="56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 spans="1:30" ht="15.75" customHeight="1">
      <c r="A748" s="56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 spans="1:30" ht="15.75" customHeight="1">
      <c r="A749" s="56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 spans="1:30" ht="15.75" customHeight="1">
      <c r="A750" s="56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 spans="1:30" ht="15.75" customHeight="1">
      <c r="A751" s="56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 spans="1:30" ht="15.75" customHeight="1">
      <c r="A752" s="56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 spans="1:30" ht="15.75" customHeight="1">
      <c r="A753" s="56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 spans="1:30" ht="15.75" customHeight="1">
      <c r="A754" s="56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 spans="1:30" ht="15.75" customHeight="1">
      <c r="A755" s="56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 spans="1:30" ht="15.75" customHeight="1">
      <c r="A756" s="56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 spans="1:30" ht="15.75" customHeight="1">
      <c r="A757" s="56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 spans="1:30" ht="15.75" customHeight="1">
      <c r="A758" s="56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 spans="1:30" ht="15.75" customHeight="1">
      <c r="A759" s="56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 spans="1:30" ht="15.75" customHeight="1">
      <c r="A760" s="56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 spans="1:30" ht="15.75" customHeight="1">
      <c r="A761" s="56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 spans="1:30" ht="15.75" customHeight="1">
      <c r="A762" s="56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 spans="1:30" ht="15.75" customHeight="1">
      <c r="A763" s="56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 spans="1:30" ht="15.75" customHeight="1">
      <c r="A764" s="56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 spans="1:30" ht="15.75" customHeight="1">
      <c r="A765" s="56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 spans="1:30" ht="15.75" customHeight="1">
      <c r="A766" s="56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 spans="1:30" ht="15.75" customHeight="1">
      <c r="A767" s="56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 spans="1:30" ht="15.75" customHeight="1">
      <c r="A768" s="56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 spans="1:30" ht="15.75" customHeight="1">
      <c r="A769" s="56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 spans="1:30" ht="15.75" customHeight="1">
      <c r="A770" s="56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 spans="1:30" ht="15.75" customHeight="1">
      <c r="A771" s="56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 spans="1:30" ht="15.75" customHeight="1">
      <c r="A772" s="56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 spans="1:30" ht="15.75" customHeight="1">
      <c r="A773" s="56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 spans="1:30" ht="15.75" customHeight="1">
      <c r="A774" s="56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 spans="1:30" ht="15.75" customHeight="1">
      <c r="A775" s="56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 spans="1:30" ht="15.75" customHeight="1">
      <c r="A776" s="56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 spans="1:30" ht="15.75" customHeight="1">
      <c r="A777" s="56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 spans="1:30" ht="15.75" customHeight="1">
      <c r="A778" s="56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 spans="1:30" ht="15.75" customHeight="1">
      <c r="A779" s="56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 spans="1:30" ht="15.75" customHeight="1">
      <c r="A780" s="56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 spans="1:30" ht="15.75" customHeight="1">
      <c r="A781" s="56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 spans="1:30" ht="15.75" customHeight="1">
      <c r="A782" s="56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 spans="1:30" ht="15.75" customHeight="1">
      <c r="A783" s="56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 spans="1:30" ht="15.75" customHeight="1">
      <c r="A784" s="56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 spans="1:30" ht="15.75" customHeight="1">
      <c r="A785" s="56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 spans="1:30" ht="15.75" customHeight="1">
      <c r="A786" s="56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 spans="1:30" ht="15.75" customHeight="1">
      <c r="A787" s="56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 spans="1:30" ht="15.75" customHeight="1">
      <c r="A788" s="56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 spans="1:30" ht="15.75" customHeight="1">
      <c r="A789" s="56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 spans="1:30" ht="15.75" customHeight="1">
      <c r="A790" s="56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 spans="1:30" ht="15.75" customHeight="1">
      <c r="A791" s="56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 spans="1:30" ht="15.75" customHeight="1">
      <c r="A792" s="56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 spans="1:30" ht="15.75" customHeight="1">
      <c r="A793" s="56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 spans="1:30" ht="15.75" customHeight="1">
      <c r="A794" s="56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 spans="1:30" ht="15.75" customHeight="1">
      <c r="A795" s="56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 spans="1:30" ht="15.75" customHeight="1">
      <c r="A796" s="56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 spans="1:30" ht="15.75" customHeight="1">
      <c r="A797" s="56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 spans="1:30" ht="15.75" customHeight="1">
      <c r="A798" s="56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 spans="1:30" ht="15.75" customHeight="1">
      <c r="A799" s="56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 spans="1:30" ht="15.75" customHeight="1">
      <c r="A800" s="56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 spans="1:30" ht="15.75" customHeight="1">
      <c r="A801" s="56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 spans="1:30" ht="15.75" customHeight="1">
      <c r="A802" s="56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 spans="1:30" ht="15.75" customHeight="1">
      <c r="A803" s="56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 spans="1:30" ht="15.75" customHeight="1">
      <c r="A804" s="56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 spans="1:30" ht="15.75" customHeight="1">
      <c r="A805" s="56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 spans="1:30" ht="15.75" customHeight="1">
      <c r="A806" s="56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 spans="1:30" ht="15.75" customHeight="1">
      <c r="A807" s="56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 spans="1:30" ht="15.75" customHeight="1">
      <c r="A808" s="56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 spans="1:30" ht="15.75" customHeight="1">
      <c r="A809" s="56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 spans="1:30" ht="15.75" customHeight="1">
      <c r="A810" s="56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 spans="1:30" ht="15.75" customHeight="1">
      <c r="A811" s="56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 spans="1:30" ht="15.75" customHeight="1">
      <c r="A812" s="56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 spans="1:30" ht="15.75" customHeight="1">
      <c r="A813" s="56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 spans="1:30" ht="15.75" customHeight="1">
      <c r="A814" s="56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 spans="1:30" ht="15.75" customHeight="1">
      <c r="A815" s="56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 spans="1:30" ht="15.75" customHeight="1">
      <c r="A816" s="56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 spans="1:30" ht="15.75" customHeight="1">
      <c r="A817" s="56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 spans="1:30" ht="15.75" customHeight="1">
      <c r="A818" s="56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 spans="1:30" ht="15.75" customHeight="1">
      <c r="A819" s="56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 spans="1:30" ht="15.75" customHeight="1">
      <c r="A820" s="56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 spans="1:30" ht="15.75" customHeight="1">
      <c r="A821" s="56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 spans="1:30" ht="15.75" customHeight="1">
      <c r="A822" s="56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 spans="1:30" ht="15.75" customHeight="1">
      <c r="A823" s="56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 spans="1:30" ht="15.75" customHeight="1">
      <c r="A824" s="56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 spans="1:30" ht="15.75" customHeight="1">
      <c r="A825" s="56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 spans="1:30" ht="15.75" customHeight="1">
      <c r="A826" s="56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 spans="1:30" ht="15.75" customHeight="1">
      <c r="A827" s="56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 spans="1:30" ht="15.75" customHeight="1">
      <c r="A828" s="56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 spans="1:30" ht="15.75" customHeight="1">
      <c r="A829" s="56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 spans="1:30" ht="15.75" customHeight="1">
      <c r="A830" s="56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 spans="1:30" ht="15.75" customHeight="1">
      <c r="A831" s="56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 spans="1:30" ht="15.75" customHeight="1">
      <c r="A832" s="56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 spans="1:30" ht="15.75" customHeight="1">
      <c r="A833" s="56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 spans="1:30" ht="15.75" customHeight="1">
      <c r="A834" s="56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 spans="1:30" ht="15.75" customHeight="1">
      <c r="A835" s="56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 spans="1:30" ht="15.75" customHeight="1">
      <c r="A836" s="56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 spans="1:30" ht="15.75" customHeight="1">
      <c r="A837" s="56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 spans="1:30" ht="15.75" customHeight="1">
      <c r="A838" s="56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 spans="1:30" ht="15.75" customHeight="1">
      <c r="A839" s="56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 spans="1:30" ht="15.75" customHeight="1">
      <c r="A840" s="56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 spans="1:30" ht="15.75" customHeight="1">
      <c r="A841" s="56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 spans="1:30" ht="15.75" customHeight="1">
      <c r="A842" s="56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 spans="1:30" ht="15.75" customHeight="1">
      <c r="A843" s="56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 spans="1:30" ht="15.75" customHeight="1">
      <c r="A844" s="56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 spans="1:30" ht="15.75" customHeight="1">
      <c r="A845" s="56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 spans="1:30" ht="15.75" customHeight="1">
      <c r="A846" s="56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 spans="1:30" ht="15.75" customHeight="1">
      <c r="A847" s="56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 spans="1:30" ht="15.75" customHeight="1">
      <c r="A848" s="56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 spans="1:30" ht="15.75" customHeight="1">
      <c r="A849" s="56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 spans="1:30" ht="15.75" customHeight="1">
      <c r="A850" s="56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 spans="1:30" ht="15.75" customHeight="1">
      <c r="A851" s="56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 spans="1:30" ht="15.75" customHeight="1">
      <c r="A852" s="56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 spans="1:30" ht="15.75" customHeight="1">
      <c r="A853" s="56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 spans="1:30" ht="15.75" customHeight="1">
      <c r="A854" s="56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 spans="1:30" ht="15.75" customHeight="1">
      <c r="A855" s="56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 spans="1:30" ht="15.75" customHeight="1">
      <c r="A856" s="56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 spans="1:30" ht="15.75" customHeight="1">
      <c r="A857" s="56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 spans="1:30" ht="15.75" customHeight="1">
      <c r="A858" s="56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 spans="1:30" ht="15.75" customHeight="1">
      <c r="A859" s="56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 spans="1:30" ht="15.75" customHeight="1">
      <c r="A860" s="56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 spans="1:30" ht="15.75" customHeight="1">
      <c r="A861" s="56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 spans="1:30" ht="15.75" customHeight="1">
      <c r="A862" s="56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 spans="1:30" ht="15.75" customHeight="1">
      <c r="A863" s="56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 spans="1:30" ht="15.75" customHeight="1">
      <c r="A864" s="56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 spans="1:30" ht="15.75" customHeight="1">
      <c r="A865" s="56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 spans="1:30" ht="15.75" customHeight="1">
      <c r="A866" s="56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 spans="1:30" ht="15.75" customHeight="1">
      <c r="A867" s="56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 spans="1:30" ht="15.75" customHeight="1">
      <c r="A868" s="56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 spans="1:30" ht="15.75" customHeight="1">
      <c r="A869" s="56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 spans="1:30" ht="15.75" customHeight="1">
      <c r="A870" s="56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 spans="1:30" ht="15.75" customHeight="1">
      <c r="A871" s="56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 spans="1:30" ht="15.75" customHeight="1">
      <c r="A872" s="56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 spans="1:30" ht="15.75" customHeight="1">
      <c r="A873" s="56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 spans="1:30" ht="15.75" customHeight="1">
      <c r="A874" s="56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 spans="1:30" ht="15.75" customHeight="1">
      <c r="A875" s="56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 spans="1:30" ht="15.75" customHeight="1">
      <c r="A876" s="56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 spans="1:30" ht="15.75" customHeight="1">
      <c r="A877" s="56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 spans="1:30" ht="15.75" customHeight="1">
      <c r="A878" s="56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 spans="1:30" ht="15.75" customHeight="1">
      <c r="A879" s="56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 spans="1:30" ht="15.75" customHeight="1">
      <c r="A880" s="56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 spans="1:30" ht="15.75" customHeight="1">
      <c r="A881" s="56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 spans="1:30" ht="15.75" customHeight="1">
      <c r="A882" s="56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 spans="1:30" ht="15.75" customHeight="1">
      <c r="A883" s="56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 spans="1:30" ht="15.75" customHeight="1">
      <c r="A884" s="56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 spans="1:30" ht="15.75" customHeight="1">
      <c r="A885" s="56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 spans="1:30" ht="15.75" customHeight="1">
      <c r="A886" s="56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 spans="1:30" ht="15.75" customHeight="1">
      <c r="A887" s="56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 spans="1:30" ht="15.75" customHeight="1">
      <c r="A888" s="56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 spans="1:30" ht="15.75" customHeight="1">
      <c r="A889" s="56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 spans="1:30" ht="15.75" customHeight="1">
      <c r="A890" s="56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 spans="1:30" ht="15.75" customHeight="1">
      <c r="A891" s="56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 spans="1:30" ht="15.75" customHeight="1">
      <c r="A892" s="56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 spans="1:30" ht="15.75" customHeight="1">
      <c r="A893" s="56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 spans="1:30" ht="15.75" customHeight="1">
      <c r="A894" s="56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 spans="1:30" ht="15.75" customHeight="1">
      <c r="A895" s="56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 spans="1:30" ht="15.75" customHeight="1">
      <c r="A896" s="56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 spans="1:30" ht="15.75" customHeight="1">
      <c r="A897" s="56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 spans="1:30" ht="15.75" customHeight="1">
      <c r="A898" s="56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 spans="1:30" ht="15.75" customHeight="1">
      <c r="A899" s="56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 spans="1:30" ht="15.75" customHeight="1">
      <c r="A900" s="56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 spans="1:30" ht="15.75" customHeight="1">
      <c r="A901" s="56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 spans="1:30" ht="15.75" customHeight="1">
      <c r="A902" s="56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 spans="1:30" ht="15.75" customHeight="1">
      <c r="A903" s="56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 spans="1:30" ht="15.75" customHeight="1">
      <c r="A904" s="56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 spans="1:30" ht="15.75" customHeight="1">
      <c r="A905" s="56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 spans="1:30" ht="15.75" customHeight="1">
      <c r="A906" s="56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 spans="1:30" ht="15.75" customHeight="1">
      <c r="A907" s="56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 spans="1:30" ht="15.75" customHeight="1">
      <c r="A908" s="56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 spans="1:30" ht="15.75" customHeight="1">
      <c r="A909" s="56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 spans="1:30" ht="15.75" customHeight="1">
      <c r="A910" s="56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 spans="1:30" ht="15.75" customHeight="1">
      <c r="A911" s="56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 spans="1:30" ht="15.75" customHeight="1">
      <c r="A912" s="56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 spans="1:30" ht="15.75" customHeight="1">
      <c r="A913" s="56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 spans="1:30" ht="15.75" customHeight="1">
      <c r="A914" s="56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 spans="1:30" ht="15.75" customHeight="1">
      <c r="A915" s="56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 spans="1:30" ht="15.75" customHeight="1">
      <c r="A916" s="56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 spans="1:30" ht="15.75" customHeight="1">
      <c r="A917" s="56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 spans="1:30" ht="15.75" customHeight="1">
      <c r="A918" s="56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 spans="1:30" ht="15.75" customHeight="1">
      <c r="A919" s="56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 spans="1:30" ht="15.75" customHeight="1">
      <c r="A920" s="56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 spans="1:30" ht="15.75" customHeight="1">
      <c r="A921" s="56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 spans="1:30" ht="15.75" customHeight="1">
      <c r="A922" s="56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 spans="1:30" ht="15.75" customHeight="1">
      <c r="A923" s="56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 spans="1:30" ht="15.75" customHeight="1">
      <c r="A924" s="56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 spans="1:30" ht="15.75" customHeight="1">
      <c r="A925" s="56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 spans="1:30" ht="15.75" customHeight="1">
      <c r="A926" s="56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 spans="1:30" ht="15.75" customHeight="1">
      <c r="A927" s="56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 spans="1:30" ht="15.75" customHeight="1">
      <c r="A928" s="56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 spans="1:30" ht="15.75" customHeight="1">
      <c r="A929" s="56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 spans="1:30" ht="15.75" customHeight="1">
      <c r="A930" s="56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 spans="1:30" ht="15.75" customHeight="1">
      <c r="A931" s="56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 spans="1:30" ht="15.75" customHeight="1">
      <c r="A932" s="56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 spans="1:30" ht="15.75" customHeight="1">
      <c r="A933" s="56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 spans="1:30" ht="15.75" customHeight="1">
      <c r="A934" s="56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 spans="1:30" ht="15.75" customHeight="1">
      <c r="A935" s="56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 spans="1:30" ht="15.75" customHeight="1">
      <c r="A936" s="56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 spans="1:30" ht="15.75" customHeight="1">
      <c r="A937" s="56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 spans="1:30" ht="15.75" customHeight="1">
      <c r="A938" s="56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 spans="1:30" ht="15.75" customHeight="1">
      <c r="A939" s="56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 spans="1:30" ht="15.75" customHeight="1">
      <c r="A940" s="56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 spans="1:30" ht="15.75" customHeight="1">
      <c r="A941" s="56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 spans="1:30" ht="15.75" customHeight="1">
      <c r="A942" s="56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 spans="1:30" ht="15.75" customHeight="1">
      <c r="A943" s="56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 spans="1:30" ht="15.75" customHeight="1">
      <c r="A944" s="56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 spans="1:30" ht="15.75" customHeight="1">
      <c r="A945" s="56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 spans="1:30" ht="15.75" customHeight="1">
      <c r="A946" s="56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 spans="1:30" ht="15.75" customHeight="1">
      <c r="A947" s="56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 spans="1:30" ht="15.75" customHeight="1">
      <c r="A948" s="56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 spans="1:30" ht="15.75" customHeight="1">
      <c r="A949" s="56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 spans="1:30" ht="15.75" customHeight="1">
      <c r="A950" s="56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 spans="1:30" ht="15.75" customHeight="1">
      <c r="A951" s="56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 spans="1:30" ht="15.75" customHeight="1">
      <c r="A952" s="56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 spans="1:30" ht="15.75" customHeight="1">
      <c r="A953" s="56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 spans="1:30" ht="15.75" customHeight="1">
      <c r="A954" s="56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 spans="1:30" ht="15.75" customHeight="1">
      <c r="A955" s="56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 spans="1:30" ht="15.75" customHeight="1">
      <c r="A956" s="56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 spans="1:30" ht="15.75" customHeight="1">
      <c r="A957" s="56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 spans="1:30" ht="15.75" customHeight="1">
      <c r="A958" s="56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 spans="1:30" ht="15.75" customHeight="1">
      <c r="A959" s="56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 spans="1:30" ht="15.75" customHeight="1">
      <c r="A960" s="56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 spans="1:30" ht="15.75" customHeight="1">
      <c r="A961" s="56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 spans="1:30" ht="15.75" customHeight="1">
      <c r="A962" s="56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 spans="1:30" ht="15.75" customHeight="1">
      <c r="A963" s="56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 spans="1:30" ht="15.75" customHeight="1">
      <c r="A964" s="56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 spans="1:30" ht="15.75" customHeight="1">
      <c r="A965" s="56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 spans="1:30" ht="15.75" customHeight="1">
      <c r="A966" s="56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 spans="1:30" ht="15.75" customHeight="1">
      <c r="A967" s="56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 spans="1:30" ht="15.75" customHeight="1">
      <c r="A968" s="56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 spans="1:30" ht="15.75" customHeight="1">
      <c r="A969" s="56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 spans="1:30" ht="15.75" customHeight="1">
      <c r="A970" s="56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 spans="1:30" ht="15.75" customHeight="1">
      <c r="A971" s="56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 spans="1:30" ht="15.75" customHeight="1">
      <c r="A972" s="56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 spans="1:30" ht="15.75" customHeight="1">
      <c r="A973" s="56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 spans="1:30" ht="15.75" customHeight="1">
      <c r="A974" s="56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 spans="1:30" ht="15.75" customHeight="1">
      <c r="A975" s="56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 spans="1:30" ht="15.75" customHeight="1">
      <c r="A976" s="56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 spans="1:30" ht="15.75" customHeight="1">
      <c r="A977" s="56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 spans="1:30" ht="15.75" customHeight="1">
      <c r="A978" s="56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 spans="1:30" ht="15.75" customHeight="1">
      <c r="A979" s="56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 spans="1:30" ht="15.75" customHeight="1">
      <c r="A980" s="56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 spans="1:30" ht="15.75" customHeight="1">
      <c r="A981" s="56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 spans="1:30" ht="15.75" customHeight="1">
      <c r="A982" s="56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 spans="1:30" ht="15.75" customHeight="1">
      <c r="A983" s="56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  <row r="984" spans="1:30" ht="15.75" customHeight="1">
      <c r="A984" s="56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</row>
    <row r="985" spans="1:30" ht="15.75" customHeight="1">
      <c r="A985" s="56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</row>
    <row r="986" spans="1:30" ht="15.75" customHeight="1">
      <c r="A986" s="56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</row>
    <row r="987" spans="1:30" ht="15.75" customHeight="1">
      <c r="A987" s="56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</row>
    <row r="988" spans="1:30" ht="15.75" customHeight="1">
      <c r="A988" s="56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</row>
    <row r="989" spans="1:30" ht="15.75" customHeight="1">
      <c r="A989" s="56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</row>
    <row r="990" spans="1:30" ht="15.75" customHeight="1">
      <c r="A990" s="56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</row>
    <row r="991" spans="1:30" ht="15.75" customHeight="1">
      <c r="A991" s="56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</row>
    <row r="992" spans="1:30" ht="15.75" customHeight="1">
      <c r="A992" s="56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</row>
    <row r="993" spans="1:30" ht="15.75" customHeight="1">
      <c r="A993" s="56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</row>
    <row r="994" spans="1:30" ht="15.75" customHeight="1">
      <c r="A994" s="56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</row>
    <row r="995" spans="1:30" ht="15.75" customHeight="1">
      <c r="A995" s="56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</row>
    <row r="996" spans="1:30" ht="15.75" customHeight="1">
      <c r="A996" s="56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</row>
    <row r="997" spans="1:30" ht="15.75" customHeight="1">
      <c r="A997" s="56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</row>
    <row r="998" spans="1:30" ht="15.75" customHeight="1">
      <c r="A998" s="56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</row>
    <row r="999" spans="1:30" ht="15.75" customHeight="1">
      <c r="A999" s="56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</row>
    <row r="1000" spans="1:30" ht="15.75" customHeight="1">
      <c r="A1000" s="56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</row>
  </sheetData>
  <hyperlinks>
    <hyperlink ref="K45" r:id="rId1" xr:uid="{00000000-0004-0000-0400-000000000000}"/>
  </hyperlinks>
  <pageMargins left="0.7" right="0.7" top="0.78740157499999996" bottom="0.78740157499999996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E10"/>
  <sheetViews>
    <sheetView workbookViewId="0"/>
  </sheetViews>
  <sheetFormatPr baseColWidth="10" defaultColWidth="11.25" defaultRowHeight="15" customHeight="1"/>
  <sheetData>
    <row r="3" spans="2:5" ht="15" customHeight="1">
      <c r="B3" s="57" t="s">
        <v>46</v>
      </c>
      <c r="C3" s="57">
        <v>14.33</v>
      </c>
      <c r="D3" s="57">
        <v>70</v>
      </c>
    </row>
    <row r="4" spans="2:5" ht="15" customHeight="1">
      <c r="B4" s="57" t="s">
        <v>47</v>
      </c>
      <c r="C4" s="57">
        <v>55</v>
      </c>
      <c r="D4" s="57">
        <v>243</v>
      </c>
    </row>
    <row r="5" spans="2:5" ht="15" customHeight="1">
      <c r="B5" s="57" t="s">
        <v>48</v>
      </c>
      <c r="C5" s="57">
        <f t="shared" ref="C5:D5" si="0">((C4/100*30))</f>
        <v>16.5</v>
      </c>
      <c r="D5" s="57">
        <f t="shared" si="0"/>
        <v>72.900000000000006</v>
      </c>
    </row>
    <row r="6" spans="2:5" ht="15" customHeight="1">
      <c r="B6" s="57" t="s">
        <v>98</v>
      </c>
      <c r="C6" s="57">
        <v>3</v>
      </c>
      <c r="D6" s="57">
        <f>41*0.5</f>
        <v>20.5</v>
      </c>
    </row>
    <row r="7" spans="2:5" ht="15" customHeight="1">
      <c r="B7" s="68" t="s">
        <v>99</v>
      </c>
      <c r="C7" s="68">
        <v>7</v>
      </c>
      <c r="D7" s="68">
        <v>10</v>
      </c>
    </row>
    <row r="8" spans="2:5" ht="15" customHeight="1">
      <c r="B8" s="68" t="s">
        <v>100</v>
      </c>
      <c r="C8" s="68">
        <v>3</v>
      </c>
      <c r="D8" s="68">
        <v>3</v>
      </c>
    </row>
    <row r="9" spans="2:5" ht="15" customHeight="1">
      <c r="B9" s="68" t="s">
        <v>101</v>
      </c>
      <c r="C9" s="68">
        <v>5.5</v>
      </c>
      <c r="D9" s="68">
        <f>D4*0.1</f>
        <v>24.3</v>
      </c>
    </row>
    <row r="10" spans="2:5" ht="15" customHeight="1">
      <c r="C10" s="69">
        <f t="shared" ref="C10:D10" si="1">C4-C3-C5-C6-C7-C8-C9</f>
        <v>5.6700000000000017</v>
      </c>
      <c r="D10" s="69">
        <f t="shared" si="1"/>
        <v>42.3</v>
      </c>
      <c r="E10" s="68">
        <f>D4*0.8</f>
        <v>194.4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baseColWidth="10" defaultColWidth="11.25" defaultRowHeight="15" customHeight="1"/>
  <cols>
    <col min="1" max="1" width="11.5625" customWidth="1"/>
    <col min="2" max="2" width="17.4375" customWidth="1"/>
    <col min="3" max="3" width="16.6875" customWidth="1"/>
    <col min="4" max="4" width="13.5625" customWidth="1"/>
    <col min="5" max="6" width="16.6875" customWidth="1"/>
    <col min="7" max="26" width="8.3125" customWidth="1"/>
  </cols>
  <sheetData>
    <row r="1" spans="1:4" ht="15.75" customHeight="1">
      <c r="A1" s="70" t="s">
        <v>102</v>
      </c>
    </row>
    <row r="2" spans="1:4" ht="15.75" customHeight="1">
      <c r="A2" s="71" t="s">
        <v>103</v>
      </c>
      <c r="B2" s="72" t="s">
        <v>104</v>
      </c>
      <c r="C2" s="72" t="s">
        <v>105</v>
      </c>
      <c r="D2" s="72" t="s">
        <v>106</v>
      </c>
    </row>
    <row r="3" spans="1:4" ht="15.75" customHeight="1">
      <c r="A3" s="73"/>
      <c r="B3" s="64"/>
      <c r="C3" s="64"/>
      <c r="D3" s="64"/>
    </row>
    <row r="4" spans="1:4" ht="15.75" customHeight="1"/>
    <row r="5" spans="1:4" ht="15.75" customHeight="1">
      <c r="A5" s="71" t="s">
        <v>107</v>
      </c>
      <c r="B5" s="72" t="s">
        <v>108</v>
      </c>
      <c r="C5" s="72" t="s">
        <v>109</v>
      </c>
    </row>
    <row r="6" spans="1:4" ht="15.75" customHeight="1">
      <c r="A6" s="74"/>
      <c r="B6" s="64"/>
      <c r="C6" s="64"/>
    </row>
    <row r="7" spans="1:4" ht="15.75" customHeight="1"/>
    <row r="8" spans="1:4" ht="15.75" customHeight="1">
      <c r="A8" s="75" t="s">
        <v>31</v>
      </c>
      <c r="B8" s="72" t="s">
        <v>110</v>
      </c>
      <c r="C8" s="72" t="s">
        <v>111</v>
      </c>
      <c r="D8" s="72" t="s">
        <v>37</v>
      </c>
    </row>
    <row r="9" spans="1:4" ht="15.75" customHeight="1">
      <c r="A9" s="74"/>
      <c r="B9" s="64"/>
      <c r="C9" s="64"/>
      <c r="D9" s="64"/>
    </row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Digital Marketing Budget</vt:lpstr>
      <vt:lpstr>Traffic</vt:lpstr>
      <vt:lpstr>Umsatz</vt:lpstr>
      <vt:lpstr>Gewinn</vt:lpstr>
      <vt:lpstr>Kanäle</vt:lpstr>
      <vt:lpstr>Tabellenblatt1</vt:lpstr>
      <vt:lpstr>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User;Klaus.Arent@adveo.com</dc:creator>
  <cp:lastModifiedBy>Klaus Arent</cp:lastModifiedBy>
  <dcterms:created xsi:type="dcterms:W3CDTF">2016-05-31T16:01:17Z</dcterms:created>
  <dcterms:modified xsi:type="dcterms:W3CDTF">2026-02-10T05:22:17Z</dcterms:modified>
</cp:coreProperties>
</file>