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gital Marketing Budget" sheetId="1" r:id="rId4"/>
    <sheet state="visible" name="Traffic" sheetId="2" r:id="rId5"/>
    <sheet state="visible" name="Umsatz" sheetId="3" r:id="rId6"/>
    <sheet state="visible" name="Gewinn" sheetId="4" r:id="rId7"/>
    <sheet state="visible" name="Kanäle" sheetId="5" r:id="rId8"/>
    <sheet state="visible" name="Tabellenblatt1" sheetId="6" r:id="rId9"/>
    <sheet state="visible" name="Invest" sheetId="7" r:id="rId10"/>
  </sheets>
  <definedNames/>
  <calcPr/>
  <extLst>
    <ext uri="GoogleSheetsCustomDataVersion2">
      <go:sheetsCustomData xmlns:go="http://customooxmlschemas.google.com/" r:id="rId11" roundtripDataChecksum="yAanblwH/IeQej7KI1w/Ig8ar0dSXfc7LLP1wk2m/qs="/>
    </ext>
  </extLst>
</workbook>
</file>

<file path=xl/sharedStrings.xml><?xml version="1.0" encoding="utf-8"?>
<sst xmlns="http://schemas.openxmlformats.org/spreadsheetml/2006/main" count="453" uniqueCount="112">
  <si>
    <t>ONLINE MARKETING BUDGET</t>
  </si>
  <si>
    <t>JAHRESAUSGABEN:</t>
  </si>
  <si>
    <t>Q1</t>
  </si>
  <si>
    <t>Q2</t>
  </si>
  <si>
    <t>Q3</t>
  </si>
  <si>
    <t>Q4</t>
  </si>
  <si>
    <t>FISCAL YEAR TOTALS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</si>
  <si>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</si>
  <si>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</si>
  <si>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</si>
  <si>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</si>
  <si>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</si>
  <si>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</si>
  <si>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</si>
  <si>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</si>
  <si>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</si>
  <si>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</si>
  <si>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</si>
  <si>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</si>
  <si>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Marketing Maßnahmen</t>
  </si>
  <si>
    <t>SEO - Offpage</t>
  </si>
  <si>
    <t>Content+SEO</t>
  </si>
  <si>
    <t>Content Marketing</t>
  </si>
  <si>
    <t>Pay-Per-Click Marketing</t>
  </si>
  <si>
    <t>Display Advertising</t>
  </si>
  <si>
    <t>Retargeting</t>
  </si>
  <si>
    <t>Social Media</t>
  </si>
  <si>
    <t>Newsletter</t>
  </si>
  <si>
    <t>TypeIn</t>
  </si>
  <si>
    <t>Investment / Consulting</t>
  </si>
  <si>
    <t>Web Development</t>
  </si>
  <si>
    <t>Umsetzung</t>
  </si>
  <si>
    <t>TOTALS</t>
  </si>
  <si>
    <t>Investment / Organisation / Consulting</t>
  </si>
  <si>
    <t>Beratung</t>
  </si>
  <si>
    <t>ONLINE MARKETING TRAFFIC</t>
  </si>
  <si>
    <t>VISITORS YEAR TOTALS</t>
  </si>
  <si>
    <t>SEO</t>
  </si>
  <si>
    <t>ONLINE MARKETING UMSATZ</t>
  </si>
  <si>
    <t>SALES YEAR TOTALS</t>
  </si>
  <si>
    <t xml:space="preserve">SALES YEAR </t>
  </si>
  <si>
    <t>ONLINE MARKETING GEWINN</t>
  </si>
  <si>
    <t>WIN YEAR TOTALS</t>
  </si>
  <si>
    <t>CV</t>
  </si>
  <si>
    <t>Warenkorb</t>
  </si>
  <si>
    <t>Marge</t>
  </si>
  <si>
    <t>Material</t>
  </si>
  <si>
    <t>VK</t>
  </si>
  <si>
    <t>Marketing</t>
  </si>
  <si>
    <t>Kanal</t>
  </si>
  <si>
    <t>SEO Offpage</t>
  </si>
  <si>
    <t>Link Qualität 1</t>
  </si>
  <si>
    <t>Link Qualität 2</t>
  </si>
  <si>
    <t>Link Qualität 3</t>
  </si>
  <si>
    <t>Link Qualität 4</t>
  </si>
  <si>
    <t>Win</t>
  </si>
  <si>
    <t>FH</t>
  </si>
  <si>
    <t>weitere Kosten</t>
  </si>
  <si>
    <t>interne Kosten</t>
  </si>
  <si>
    <t>Warenkorbwert</t>
  </si>
  <si>
    <t>Traffic</t>
  </si>
  <si>
    <t>SEO Onpage</t>
  </si>
  <si>
    <t>Content</t>
  </si>
  <si>
    <t>Produkte</t>
  </si>
  <si>
    <t>Gesamt</t>
  </si>
  <si>
    <t>Seitenarchitektur</t>
  </si>
  <si>
    <t>Website</t>
  </si>
  <si>
    <t>Grafik</t>
  </si>
  <si>
    <t>Kooperationen</t>
  </si>
  <si>
    <t>Seeding</t>
  </si>
  <si>
    <t>Design</t>
  </si>
  <si>
    <t>PPC</t>
  </si>
  <si>
    <t>Bid Management</t>
  </si>
  <si>
    <t>Texte Top 100</t>
  </si>
  <si>
    <t>Google Adwords</t>
  </si>
  <si>
    <t>Social Ads</t>
  </si>
  <si>
    <t>Kosten</t>
  </si>
  <si>
    <t>View</t>
  </si>
  <si>
    <t>CPM</t>
  </si>
  <si>
    <t>Facebook Ads</t>
  </si>
  <si>
    <t>Aktionen</t>
  </si>
  <si>
    <t>Redaktion</t>
  </si>
  <si>
    <t>Software</t>
  </si>
  <si>
    <t>Likes</t>
  </si>
  <si>
    <t>Neue Adressen</t>
  </si>
  <si>
    <t>Conversion Optimization</t>
  </si>
  <si>
    <t>Multivariate Tests</t>
  </si>
  <si>
    <t>Preissuchmaschinen</t>
  </si>
  <si>
    <t>Besucher/M</t>
  </si>
  <si>
    <t>Amazon</t>
  </si>
  <si>
    <t>Ebay</t>
  </si>
  <si>
    <t>Aldi/Lidl</t>
  </si>
  <si>
    <t>Kaufland</t>
  </si>
  <si>
    <t>Netto</t>
  </si>
  <si>
    <t>Rewe-Group</t>
  </si>
  <si>
    <t>Müller</t>
  </si>
  <si>
    <t>Otto</t>
  </si>
  <si>
    <t>Galeria.de</t>
  </si>
  <si>
    <t>Picking</t>
  </si>
  <si>
    <t>Transport</t>
  </si>
  <si>
    <t>Packsets</t>
  </si>
  <si>
    <t>Retoure</t>
  </si>
  <si>
    <t>Web Entwicklung</t>
  </si>
  <si>
    <t>Online Shop</t>
  </si>
  <si>
    <t>Shopify</t>
  </si>
  <si>
    <t>Plugins</t>
  </si>
  <si>
    <t>Weiterentwicklung</t>
  </si>
  <si>
    <t>Web Content</t>
  </si>
  <si>
    <t>Startseite</t>
  </si>
  <si>
    <t>Produkt</t>
  </si>
  <si>
    <t>Google Ads</t>
  </si>
  <si>
    <t>FB/Insta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</si>
</sst>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&quot;€&quot;"/>
    <numFmt numFmtId="165" formatCode="_-&quot;$&quot;* #,##0.00_-;\-&quot;$&quot;* #,##0.00_-;_-&quot;$&quot;* &quot;-&quot;??_-;_-@"/>
    <numFmt numFmtId="166" formatCode="#,##0_ ;\-#,##0\ "/>
  </numFmts>
  <fonts count="26">
    <font>
      <sz val="12.0"/>
      <color theme="1"/>
      <name val="Calibri"/>
      <scheme val="minor"/>
    </font>
    <font>
      <sz val="12.0"/>
      <color theme="1"/>
      <name val="Arial"/>
    </font>
    <font>
      <b/>
      <sz val="22.0"/>
      <color rgb="FF339966"/>
      <name val="Century Gothic"/>
    </font>
    <font>
      <b/>
      <sz val="22.0"/>
      <color rgb="FF88361C"/>
      <name val="Century Gothic"/>
    </font>
    <font>
      <sz val="11.0"/>
      <color rgb="FF339933"/>
      <name val="Century Gothic"/>
    </font>
    <font>
      <b/>
      <sz val="12.0"/>
      <color rgb="FF339933"/>
      <name val="Century Gothic"/>
    </font>
    <font>
      <sz val="9.0"/>
      <color theme="1"/>
      <name val="Century Gothic"/>
    </font>
    <font>
      <b/>
      <sz val="12.0"/>
      <color theme="1"/>
      <name val="Century Gothic"/>
    </font>
    <font>
      <b/>
      <sz val="12.0"/>
      <color rgb="FFFFFFFF"/>
      <name val="Century Gothic"/>
    </font>
    <font>
      <b/>
      <sz val="12.0"/>
      <color theme="0"/>
      <name val="Century Gothic"/>
    </font>
    <font/>
    <font>
      <b/>
      <sz val="11.0"/>
      <color theme="0"/>
      <name val="Century Gothic"/>
    </font>
    <font>
      <b/>
      <sz val="11.0"/>
      <color theme="1"/>
      <name val="Century Gothic"/>
    </font>
    <font>
      <b/>
      <sz val="11.0"/>
      <color rgb="FF282823"/>
      <name val="Century Gothic"/>
    </font>
    <font>
      <b/>
      <sz val="11.0"/>
      <color rgb="FF664C00"/>
      <name val="Century Gothic"/>
    </font>
    <font>
      <sz val="11.0"/>
      <color theme="1"/>
      <name val="Century Gothic"/>
    </font>
    <font>
      <sz val="12.0"/>
      <color theme="1"/>
      <name val="Calibri"/>
    </font>
    <font>
      <b/>
      <sz val="12.0"/>
      <color theme="1"/>
      <name val="Calibri"/>
    </font>
    <font>
      <sz val="9.0"/>
      <color rgb="FF1155CC"/>
      <name val="&quot;Google Sans Mono&quot;"/>
    </font>
    <font>
      <sz val="12.0"/>
      <color rgb="FF000000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sz val="12.0"/>
      <color theme="0"/>
      <name val="Calibri"/>
    </font>
    <font>
      <b/>
      <u/>
      <sz val="12.0"/>
      <color theme="0"/>
      <name val="Calibri"/>
    </font>
    <font>
      <color theme="1"/>
      <name val="Calibri"/>
      <scheme val="minor"/>
    </font>
    <font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008000"/>
        <bgColor rgb="FF008000"/>
      </patternFill>
    </fill>
    <fill>
      <patternFill patternType="solid">
        <fgColor rgb="FF339933"/>
        <bgColor rgb="FF339933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00CC00"/>
        <bgColor rgb="FF00CC00"/>
      </patternFill>
    </fill>
    <fill>
      <patternFill patternType="solid">
        <fgColor rgb="FFFFE084"/>
        <bgColor rgb="FFFFE084"/>
      </patternFill>
    </fill>
    <fill>
      <patternFill patternType="solid">
        <fgColor rgb="FFBBBBB2"/>
        <bgColor rgb="FFBBBBB2"/>
      </patternFill>
    </fill>
    <fill>
      <patternFill patternType="solid">
        <fgColor rgb="FFFED147"/>
        <bgColor rgb="FFFED147"/>
      </patternFill>
    </fill>
    <fill>
      <patternFill patternType="solid">
        <fgColor rgb="FFCCFFCC"/>
        <bgColor rgb="FFCCFFCC"/>
      </patternFill>
    </fill>
    <fill>
      <patternFill patternType="solid">
        <fgColor rgb="FFDDDDD8"/>
        <bgColor rgb="FFDDDDD8"/>
      </patternFill>
    </fill>
    <fill>
      <patternFill patternType="solid">
        <fgColor rgb="FFFFEFC1"/>
        <bgColor rgb="FFFFEFC1"/>
      </patternFill>
    </fill>
    <fill>
      <patternFill patternType="solid">
        <fgColor rgb="FFFFFFFF"/>
        <bgColor rgb="FFFFFFFF"/>
      </patternFill>
    </fill>
    <fill>
      <patternFill patternType="solid">
        <fgColor rgb="FF00CC66"/>
        <bgColor rgb="FF00CC66"/>
      </patternFill>
    </fill>
  </fills>
  <borders count="21">
    <border/>
    <border>
      <left style="medium">
        <color rgb="FF997200"/>
      </left>
      <right style="medium">
        <color rgb="FF997200"/>
      </right>
      <top style="medium">
        <color rgb="FF997200"/>
      </top>
    </border>
    <border>
      <left style="medium">
        <color rgb="FF997200"/>
      </left>
      <top style="medium">
        <color rgb="FF997200"/>
      </top>
      <bottom style="thin">
        <color rgb="FF997200"/>
      </bottom>
    </border>
    <border>
      <top style="medium">
        <color rgb="FF997200"/>
      </top>
      <bottom style="thin">
        <color rgb="FF997200"/>
      </bottom>
    </border>
    <border>
      <left style="medium">
        <color rgb="FF997200"/>
      </left>
      <right style="medium">
        <color rgb="FF997200"/>
      </right>
      <bottom style="medium">
        <color rgb="FF997200"/>
      </bottom>
    </border>
    <border>
      <left style="medium">
        <color rgb="FF997200"/>
      </left>
      <right/>
      <top style="thin">
        <color rgb="FF997200"/>
      </top>
      <bottom/>
    </border>
    <border>
      <left style="thin">
        <color rgb="FF997200"/>
      </left>
      <right/>
      <top style="thin">
        <color rgb="FF997200"/>
      </top>
      <bottom/>
    </border>
    <border>
      <left style="medium">
        <color rgb="FF997200"/>
      </left>
      <right/>
      <top style="medium">
        <color rgb="FF997200"/>
      </top>
      <bottom style="thin">
        <color rgb="FF997200"/>
      </bottom>
    </border>
    <border>
      <left style="thin">
        <color rgb="FF997200"/>
      </left>
      <right/>
      <top style="medium">
        <color rgb="FF997200"/>
      </top>
      <bottom style="thin">
        <color rgb="FF997200"/>
      </bottom>
    </border>
    <border>
      <left style="medium">
        <color theme="8"/>
      </left>
      <right style="medium">
        <color theme="8"/>
      </right>
      <top style="thin">
        <color theme="8"/>
      </top>
      <bottom style="thin">
        <color theme="8"/>
      </bottom>
    </border>
    <border>
      <left style="medium">
        <color rgb="FF997200"/>
      </left>
      <top style="thin">
        <color rgb="FF997200"/>
      </top>
      <bottom style="thin">
        <color rgb="FF997200"/>
      </bottom>
    </border>
    <border>
      <left style="medium">
        <color rgb="FF997200"/>
      </left>
      <right style="thin">
        <color rgb="FF997200"/>
      </right>
      <top style="thin">
        <color rgb="FF997200"/>
      </top>
      <bottom style="thin">
        <color rgb="FF997200"/>
      </bottom>
    </border>
    <border>
      <left style="medium">
        <color rgb="FF997200"/>
      </left>
      <bottom style="thin">
        <color rgb="FF997200"/>
      </bottom>
    </border>
    <border>
      <left style="medium">
        <color rgb="FF997200"/>
      </left>
      <top style="thin">
        <color rgb="FF997200"/>
      </top>
    </border>
    <border>
      <right style="medium">
        <color rgb="FF997200"/>
      </right>
      <top style="medium">
        <color rgb="FF997200"/>
      </top>
    </border>
    <border>
      <right style="medium">
        <color rgb="FF997200"/>
      </right>
      <bottom style="medium">
        <color rgb="FF997200"/>
      </bottom>
    </border>
    <border>
      <left style="medium">
        <color theme="8"/>
      </left>
      <right style="medium">
        <color theme="8"/>
      </right>
      <bottom style="thin">
        <color theme="8"/>
      </bottom>
    </border>
    <border>
      <left/>
      <right/>
      <top style="medium">
        <color rgb="FF997200"/>
      </top>
      <bottom style="thin">
        <color rgb="FF997200"/>
      </bottom>
    </border>
    <border>
      <left style="medium">
        <color rgb="FF997200"/>
      </left>
      <right style="medium">
        <color rgb="FF997200"/>
      </right>
      <top style="medium">
        <color rgb="FF997200"/>
      </top>
      <bottom/>
    </border>
    <border>
      <left style="medium">
        <color rgb="FF997200"/>
      </left>
      <right style="medium">
        <color rgb="FF997200"/>
      </right>
      <top/>
      <bottom style="medium">
        <color rgb="FF9972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5" numFmtId="164" xfId="0" applyAlignment="1" applyFont="1" applyNumberFormat="1">
      <alignment vertical="center"/>
    </xf>
    <xf borderId="0" fillId="0" fontId="6" numFmtId="0" xfId="0" applyAlignment="1" applyFont="1">
      <alignment horizontal="right" shrinkToFit="0" vertical="center" wrapText="1"/>
    </xf>
    <xf borderId="0" fillId="0" fontId="7" numFmtId="165" xfId="0" applyAlignment="1" applyFont="1" applyNumberFormat="1">
      <alignment horizontal="left" vertical="center"/>
    </xf>
    <xf borderId="1" fillId="2" fontId="8" numFmtId="0" xfId="0" applyAlignment="1" applyBorder="1" applyFill="1" applyFont="1">
      <alignment horizontal="center" shrinkToFit="0" vertical="center" wrapText="1"/>
    </xf>
    <xf borderId="2" fillId="3" fontId="9" numFmtId="165" xfId="0" applyAlignment="1" applyBorder="1" applyFill="1" applyFont="1" applyNumberFormat="1">
      <alignment horizontal="center" vertical="center"/>
    </xf>
    <xf borderId="3" fillId="0" fontId="10" numFmtId="0" xfId="0" applyBorder="1" applyFont="1"/>
    <xf borderId="2" fillId="4" fontId="9" numFmtId="165" xfId="0" applyAlignment="1" applyBorder="1" applyFill="1" applyFont="1" applyNumberFormat="1">
      <alignment horizontal="center" vertical="center"/>
    </xf>
    <xf borderId="1" fillId="5" fontId="9" numFmtId="0" xfId="0" applyAlignment="1" applyBorder="1" applyFill="1" applyFont="1">
      <alignment horizontal="center" shrinkToFit="0" vertical="center" wrapText="1"/>
    </xf>
    <xf borderId="4" fillId="0" fontId="10" numFmtId="0" xfId="0" applyBorder="1" applyFont="1"/>
    <xf borderId="5" fillId="6" fontId="11" numFmtId="0" xfId="0" applyAlignment="1" applyBorder="1" applyFill="1" applyFont="1">
      <alignment horizontal="center" shrinkToFit="0" vertical="center" wrapText="1"/>
    </xf>
    <xf borderId="6" fillId="6" fontId="11" numFmtId="0" xfId="0" applyAlignment="1" applyBorder="1" applyFont="1">
      <alignment horizontal="center" shrinkToFit="0" vertical="center" wrapText="1"/>
    </xf>
    <xf borderId="5" fillId="7" fontId="11" numFmtId="0" xfId="0" applyAlignment="1" applyBorder="1" applyFill="1" applyFont="1">
      <alignment horizontal="center" shrinkToFit="0" vertical="center" wrapText="1"/>
    </xf>
    <xf borderId="6" fillId="7" fontId="1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7" fillId="8" fontId="12" numFmtId="0" xfId="0" applyAlignment="1" applyBorder="1" applyFill="1" applyFont="1">
      <alignment horizontal="left" shrinkToFit="0" vertical="center" wrapText="1"/>
    </xf>
    <xf borderId="7" fillId="9" fontId="13" numFmtId="164" xfId="0" applyAlignment="1" applyBorder="1" applyFill="1" applyFont="1" applyNumberFormat="1">
      <alignment horizontal="center" shrinkToFit="0" vertical="center" wrapText="1"/>
    </xf>
    <xf borderId="8" fillId="9" fontId="13" numFmtId="164" xfId="0" applyAlignment="1" applyBorder="1" applyFont="1" applyNumberFormat="1">
      <alignment horizontal="center" shrinkToFit="0" vertical="center" wrapText="1"/>
    </xf>
    <xf borderId="7" fillId="10" fontId="14" numFmtId="164" xfId="0" applyAlignment="1" applyBorder="1" applyFill="1" applyFont="1" applyNumberFormat="1">
      <alignment horizontal="center" shrinkToFit="0" vertical="center" wrapText="1"/>
    </xf>
    <xf borderId="8" fillId="10" fontId="14" numFmtId="164" xfId="0" applyAlignment="1" applyBorder="1" applyFont="1" applyNumberFormat="1">
      <alignment horizontal="center" shrinkToFit="0" vertical="center" wrapText="1"/>
    </xf>
    <xf borderId="9" fillId="11" fontId="12" numFmtId="164" xfId="0" applyAlignment="1" applyBorder="1" applyFill="1" applyFont="1" applyNumberFormat="1">
      <alignment horizontal="center" vertical="center"/>
    </xf>
    <xf borderId="10" fillId="0" fontId="15" numFmtId="0" xfId="0" applyAlignment="1" applyBorder="1" applyFont="1">
      <alignment horizontal="left" shrinkToFit="0" vertical="center" wrapText="1"/>
    </xf>
    <xf borderId="11" fillId="12" fontId="15" numFmtId="164" xfId="0" applyAlignment="1" applyBorder="1" applyFill="1" applyFont="1" applyNumberFormat="1">
      <alignment horizontal="center" shrinkToFit="0" vertical="center" wrapText="1"/>
    </xf>
    <xf borderId="11" fillId="13" fontId="15" numFmtId="164" xfId="0" applyAlignment="1" applyBorder="1" applyFill="1" applyFont="1" applyNumberFormat="1">
      <alignment horizontal="center" shrinkToFit="0" vertical="center" wrapText="1"/>
    </xf>
    <xf borderId="12" fillId="0" fontId="15" numFmtId="0" xfId="0" applyAlignment="1" applyBorder="1" applyFont="1">
      <alignment horizontal="left" shrinkToFit="0" vertical="center" wrapText="1"/>
    </xf>
    <xf borderId="13" fillId="0" fontId="15" numFmtId="0" xfId="0" applyAlignment="1" applyBorder="1" applyFont="1">
      <alignment horizontal="left" shrinkToFit="0" vertical="center" wrapText="1"/>
    </xf>
    <xf borderId="6" fillId="6" fontId="11" numFmtId="164" xfId="0" applyAlignment="1" applyBorder="1" applyFont="1" applyNumberFormat="1">
      <alignment horizontal="center" shrinkToFit="0" vertical="center" wrapText="1"/>
    </xf>
    <xf borderId="9" fillId="5" fontId="1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shrinkToFit="0" wrapText="1"/>
    </xf>
    <xf borderId="0" fillId="0" fontId="1" numFmtId="164" xfId="0" applyAlignment="1" applyFont="1" applyNumberFormat="1">
      <alignment horizontal="left"/>
    </xf>
    <xf borderId="0" fillId="0" fontId="1" numFmtId="164" xfId="0" applyFont="1" applyNumberFormat="1"/>
    <xf borderId="3" fillId="4" fontId="9" numFmtId="165" xfId="0" applyAlignment="1" applyBorder="1" applyFont="1" applyNumberFormat="1">
      <alignment horizontal="center" vertical="center"/>
    </xf>
    <xf borderId="3" fillId="3" fontId="9" numFmtId="165" xfId="0" applyAlignment="1" applyBorder="1" applyFont="1" applyNumberFormat="1">
      <alignment horizontal="center" vertical="center"/>
    </xf>
    <xf borderId="14" fillId="5" fontId="9" numFmtId="0" xfId="0" applyAlignment="1" applyBorder="1" applyFont="1">
      <alignment horizontal="center" shrinkToFit="0" vertical="center" wrapText="1"/>
    </xf>
    <xf borderId="15" fillId="0" fontId="10" numFmtId="0" xfId="0" applyBorder="1" applyFont="1"/>
    <xf borderId="16" fillId="11" fontId="12" numFmtId="164" xfId="0" applyAlignment="1" applyBorder="1" applyFont="1" applyNumberFormat="1">
      <alignment horizontal="center" vertical="center"/>
    </xf>
    <xf borderId="0" fillId="0" fontId="5" numFmtId="166" xfId="0" applyAlignment="1" applyFont="1" applyNumberFormat="1">
      <alignment vertical="center"/>
    </xf>
    <xf borderId="7" fillId="9" fontId="13" numFmtId="166" xfId="0" applyAlignment="1" applyBorder="1" applyFont="1" applyNumberFormat="1">
      <alignment horizontal="center" shrinkToFit="0" vertical="center" wrapText="1"/>
    </xf>
    <xf borderId="7" fillId="10" fontId="14" numFmtId="166" xfId="0" applyAlignment="1" applyBorder="1" applyFont="1" applyNumberFormat="1">
      <alignment horizontal="center" shrinkToFit="0" vertical="center" wrapText="1"/>
    </xf>
    <xf borderId="9" fillId="11" fontId="12" numFmtId="166" xfId="0" applyAlignment="1" applyBorder="1" applyFont="1" applyNumberFormat="1">
      <alignment horizontal="center" vertical="center"/>
    </xf>
    <xf borderId="11" fillId="12" fontId="15" numFmtId="166" xfId="0" applyAlignment="1" applyBorder="1" applyFont="1" applyNumberFormat="1">
      <alignment horizontal="center" shrinkToFit="0" vertical="center" wrapText="1"/>
    </xf>
    <xf borderId="11" fillId="13" fontId="15" numFmtId="166" xfId="0" applyAlignment="1" applyBorder="1" applyFont="1" applyNumberFormat="1">
      <alignment horizontal="center" shrinkToFit="0" vertical="center" wrapText="1"/>
    </xf>
    <xf borderId="11" fillId="12" fontId="15" numFmtId="166" xfId="0" applyAlignment="1" applyBorder="1" applyFont="1" applyNumberFormat="1">
      <alignment horizontal="center" readingOrder="0" shrinkToFit="0" vertical="center" wrapText="1"/>
    </xf>
    <xf borderId="6" fillId="6" fontId="11" numFmtId="166" xfId="0" applyAlignment="1" applyBorder="1" applyFont="1" applyNumberFormat="1">
      <alignment horizontal="center" shrinkToFit="0" vertical="center" wrapText="1"/>
    </xf>
    <xf borderId="9" fillId="5" fontId="11" numFmtId="166" xfId="0" applyAlignment="1" applyBorder="1" applyFont="1" applyNumberFormat="1">
      <alignment horizontal="center" vertical="center"/>
    </xf>
    <xf borderId="16" fillId="11" fontId="12" numFmtId="166" xfId="0" applyAlignment="1" applyBorder="1" applyFont="1" applyNumberFormat="1">
      <alignment horizontal="center" vertical="center"/>
    </xf>
    <xf borderId="0" fillId="0" fontId="16" numFmtId="164" xfId="0" applyFont="1" applyNumberFormat="1"/>
    <xf borderId="0" fillId="0" fontId="2" numFmtId="164" xfId="0" applyAlignment="1" applyFont="1" applyNumberFormat="1">
      <alignment vertical="center"/>
    </xf>
    <xf borderId="0" fillId="0" fontId="3" numFmtId="164" xfId="0" applyAlignment="1" applyFont="1" applyNumberFormat="1">
      <alignment horizontal="left" vertical="center"/>
    </xf>
    <xf borderId="0" fillId="0" fontId="4" numFmtId="164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right" shrinkToFit="0" vertical="center" wrapText="1"/>
    </xf>
    <xf borderId="0" fillId="0" fontId="7" numFmtId="164" xfId="0" applyAlignment="1" applyFont="1" applyNumberFormat="1">
      <alignment horizontal="left" vertical="center"/>
    </xf>
    <xf borderId="2" fillId="3" fontId="9" numFmtId="164" xfId="0" applyAlignment="1" applyBorder="1" applyFont="1" applyNumberFormat="1">
      <alignment horizontal="center" vertical="center"/>
    </xf>
    <xf borderId="2" fillId="4" fontId="9" numFmtId="164" xfId="0" applyAlignment="1" applyBorder="1" applyFont="1" applyNumberFormat="1">
      <alignment horizontal="center" vertical="center"/>
    </xf>
    <xf borderId="1" fillId="5" fontId="9" numFmtId="164" xfId="0" applyAlignment="1" applyBorder="1" applyFont="1" applyNumberFormat="1">
      <alignment horizontal="center" shrinkToFit="0" vertical="center" wrapText="1"/>
    </xf>
    <xf borderId="5" fillId="6" fontId="11" numFmtId="164" xfId="0" applyAlignment="1" applyBorder="1" applyFont="1" applyNumberFormat="1">
      <alignment horizontal="center" shrinkToFit="0" vertical="center" wrapText="1"/>
    </xf>
    <xf borderId="5" fillId="7" fontId="11" numFmtId="164" xfId="0" applyAlignment="1" applyBorder="1" applyFont="1" applyNumberFormat="1">
      <alignment horizontal="center" shrinkToFit="0" vertical="center" wrapText="1"/>
    </xf>
    <xf borderId="6" fillId="7" fontId="11" numFmtId="164" xfId="0" applyAlignment="1" applyBorder="1" applyFont="1" applyNumberFormat="1">
      <alignment horizontal="center" shrinkToFit="0" vertical="center" wrapText="1"/>
    </xf>
    <xf borderId="7" fillId="8" fontId="12" numFmtId="164" xfId="0" applyAlignment="1" applyBorder="1" applyFont="1" applyNumberFormat="1">
      <alignment horizontal="left" shrinkToFit="0" vertical="center" wrapText="1"/>
    </xf>
    <xf borderId="7" fillId="3" fontId="9" numFmtId="164" xfId="0" applyAlignment="1" applyBorder="1" applyFont="1" applyNumberFormat="1">
      <alignment horizontal="center" vertical="center"/>
    </xf>
    <xf borderId="17" fillId="3" fontId="9" numFmtId="164" xfId="0" applyAlignment="1" applyBorder="1" applyFont="1" applyNumberFormat="1">
      <alignment horizontal="center" vertical="center"/>
    </xf>
    <xf borderId="7" fillId="4" fontId="9" numFmtId="164" xfId="0" applyAlignment="1" applyBorder="1" applyFont="1" applyNumberFormat="1">
      <alignment horizontal="center" vertical="center"/>
    </xf>
    <xf borderId="17" fillId="4" fontId="9" numFmtId="164" xfId="0" applyAlignment="1" applyBorder="1" applyFont="1" applyNumberFormat="1">
      <alignment horizontal="center" vertical="center"/>
    </xf>
    <xf borderId="18" fillId="5" fontId="8" numFmtId="164" xfId="0" applyAlignment="1" applyBorder="1" applyFont="1" applyNumberFormat="1">
      <alignment horizontal="center" shrinkToFit="0" vertical="center" wrapText="1"/>
    </xf>
    <xf borderId="19" fillId="5" fontId="8" numFmtId="164" xfId="0" applyAlignment="1" applyBorder="1" applyFont="1" applyNumberFormat="1">
      <alignment horizontal="center" shrinkToFit="0" vertical="center" wrapText="1"/>
    </xf>
    <xf borderId="18" fillId="5" fontId="9" numFmtId="164" xfId="0" applyAlignment="1" applyBorder="1" applyFont="1" applyNumberFormat="1">
      <alignment horizontal="center" shrinkToFit="0" vertical="center" wrapText="1"/>
    </xf>
    <xf borderId="0" fillId="0" fontId="16" numFmtId="165" xfId="0" applyFont="1" applyNumberFormat="1"/>
    <xf borderId="3" fillId="4" fontId="9" numFmtId="164" xfId="0" applyAlignment="1" applyBorder="1" applyFont="1" applyNumberFormat="1">
      <alignment horizontal="center" vertical="center"/>
    </xf>
    <xf borderId="3" fillId="3" fontId="9" numFmtId="164" xfId="0" applyAlignment="1" applyBorder="1" applyFont="1" applyNumberFormat="1">
      <alignment horizontal="center" vertical="center"/>
    </xf>
    <xf borderId="14" fillId="5" fontId="9" numFmtId="164" xfId="0" applyAlignment="1" applyBorder="1" applyFont="1" applyNumberFormat="1">
      <alignment horizontal="center" shrinkToFit="0" vertical="center" wrapText="1"/>
    </xf>
    <xf borderId="0" fillId="0" fontId="17" numFmtId="4" xfId="0" applyFont="1" applyNumberFormat="1"/>
    <xf borderId="0" fillId="0" fontId="16" numFmtId="4" xfId="0" applyFont="1" applyNumberFormat="1"/>
    <xf borderId="0" fillId="0" fontId="16" numFmtId="9" xfId="0" applyAlignment="1" applyFont="1" applyNumberFormat="1">
      <alignment readingOrder="0"/>
    </xf>
    <xf borderId="0" fillId="0" fontId="16" numFmtId="4" xfId="0" applyAlignment="1" applyFont="1" applyNumberFormat="1">
      <alignment readingOrder="0"/>
    </xf>
    <xf borderId="0" fillId="14" fontId="18" numFmtId="4" xfId="0" applyFill="1" applyFont="1" applyNumberFormat="1"/>
    <xf borderId="0" fillId="0" fontId="19" numFmtId="10" xfId="0" applyAlignment="1" applyFont="1" applyNumberFormat="1">
      <alignment readingOrder="0"/>
    </xf>
    <xf borderId="20" fillId="3" fontId="20" numFmtId="4" xfId="0" applyBorder="1" applyFont="1" applyNumberFormat="1"/>
    <xf borderId="20" fillId="15" fontId="20" numFmtId="4" xfId="0" applyBorder="1" applyFill="1" applyFont="1" applyNumberFormat="1"/>
    <xf borderId="20" fillId="0" fontId="17" numFmtId="4" xfId="0" applyBorder="1" applyFont="1" applyNumberFormat="1"/>
    <xf borderId="20" fillId="0" fontId="16" numFmtId="4" xfId="0" applyBorder="1" applyFont="1" applyNumberFormat="1"/>
    <xf borderId="20" fillId="15" fontId="21" numFmtId="4" xfId="0" applyBorder="1" applyFont="1" applyNumberFormat="1"/>
    <xf borderId="0" fillId="0" fontId="22" numFmtId="4" xfId="0" applyFont="1" applyNumberFormat="1"/>
    <xf borderId="0" fillId="0" fontId="19" numFmtId="10" xfId="0" applyFont="1" applyNumberFormat="1"/>
    <xf borderId="20" fillId="15" fontId="23" numFmtId="4" xfId="0" applyBorder="1" applyFont="1" applyNumberFormat="1"/>
    <xf borderId="0" fillId="0" fontId="24" numFmtId="0" xfId="0" applyAlignment="1" applyFont="1">
      <alignment readingOrder="0"/>
    </xf>
    <xf borderId="0" fillId="0" fontId="24" numFmtId="4" xfId="0" applyFont="1" applyNumberFormat="1"/>
    <xf borderId="0" fillId="0" fontId="24" numFmtId="0" xfId="0" applyFont="1"/>
    <xf borderId="0" fillId="0" fontId="25" numFmtId="0" xfId="0" applyFont="1"/>
    <xf borderId="20" fillId="3" fontId="20" numFmtId="0" xfId="0" applyBorder="1" applyFont="1"/>
    <xf borderId="20" fillId="15" fontId="21" numFmtId="0" xfId="0" applyBorder="1" applyFont="1"/>
    <xf borderId="20" fillId="0" fontId="16" numFmtId="0" xfId="0" applyBorder="1" applyFont="1"/>
    <xf borderId="20" fillId="0" fontId="17" numFmtId="0" xfId="0" applyBorder="1" applyFont="1"/>
    <xf borderId="20" fillId="3" fontId="2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CC99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galeria.de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FFCC"/>
    <pageSetUpPr fitToPage="1"/>
  </sheetPr>
  <sheetViews>
    <sheetView showGridLines="0" workbookViewId="0"/>
  </sheetViews>
  <sheetFormatPr customHeight="1" defaultColWidth="11.22" defaultRowHeight="15.0"/>
  <cols>
    <col customWidth="1" min="1" max="1" width="1.33"/>
    <col customWidth="1" min="2" max="2" width="23.78"/>
    <col customWidth="1" min="3" max="3" width="12.0"/>
    <col customWidth="1" min="4" max="14" width="11.33"/>
    <col customWidth="1" min="15" max="15" width="15.78"/>
    <col customWidth="1" min="16" max="26" width="8.44"/>
  </cols>
  <sheetData>
    <row r="1" ht="16.5" customHeight="1">
      <c r="A1" s="1"/>
      <c r="B1" s="2" t="s">
        <v>0</v>
      </c>
      <c r="F1" s="3"/>
      <c r="G1" s="3"/>
      <c r="H1" s="3"/>
      <c r="I1" s="3"/>
      <c r="J1" s="3"/>
      <c r="K1" s="3"/>
      <c r="L1" s="3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F2" s="4"/>
      <c r="G2" s="4"/>
      <c r="H2" s="4"/>
      <c r="I2" s="4"/>
      <c r="J2" s="4"/>
      <c r="K2" s="4"/>
      <c r="L2" s="4"/>
      <c r="M2" s="4"/>
      <c r="N2" s="5" t="s">
        <v>1</v>
      </c>
      <c r="O2" s="6">
        <f>O19</f>
        <v>15459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9">
        <v>2022.0</v>
      </c>
      <c r="C4" s="10" t="s">
        <v>2</v>
      </c>
      <c r="D4" s="11"/>
      <c r="E4" s="11"/>
      <c r="F4" s="12" t="s">
        <v>3</v>
      </c>
      <c r="G4" s="11"/>
      <c r="H4" s="11"/>
      <c r="I4" s="10" t="s">
        <v>4</v>
      </c>
      <c r="J4" s="11"/>
      <c r="K4" s="11"/>
      <c r="L4" s="12" t="s">
        <v>5</v>
      </c>
      <c r="M4" s="11"/>
      <c r="N4" s="11"/>
      <c r="O4" s="13" t="s">
        <v>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4"/>
      <c r="C5" s="15" t="s">
        <v>7</v>
      </c>
      <c r="D5" s="16" t="s">
        <v>8</v>
      </c>
      <c r="E5" s="16" t="s">
        <v>9</v>
      </c>
      <c r="F5" s="17" t="s">
        <v>10</v>
      </c>
      <c r="G5" s="18" t="s">
        <v>11</v>
      </c>
      <c r="H5" s="18" t="s">
        <v>12</v>
      </c>
      <c r="I5" s="15" t="s">
        <v>13</v>
      </c>
      <c r="J5" s="16" t="s">
        <v>14</v>
      </c>
      <c r="K5" s="16" t="s">
        <v>15</v>
      </c>
      <c r="L5" s="17" t="s">
        <v>16</v>
      </c>
      <c r="M5" s="18" t="s">
        <v>17</v>
      </c>
      <c r="N5" s="18" t="s">
        <v>18</v>
      </c>
      <c r="O5" s="1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9"/>
      <c r="B6" s="20" t="s">
        <v>19</v>
      </c>
      <c r="C6" s="21">
        <f t="shared" ref="C6:N6" si="1">SUM(C7:C14)</f>
        <v>0</v>
      </c>
      <c r="D6" s="22">
        <f t="shared" si="1"/>
        <v>0</v>
      </c>
      <c r="E6" s="22">
        <f t="shared" si="1"/>
        <v>0</v>
      </c>
      <c r="F6" s="23">
        <f t="shared" si="1"/>
        <v>51</v>
      </c>
      <c r="G6" s="24">
        <f t="shared" si="1"/>
        <v>51</v>
      </c>
      <c r="H6" s="24">
        <f t="shared" si="1"/>
        <v>51</v>
      </c>
      <c r="I6" s="21">
        <f t="shared" si="1"/>
        <v>51</v>
      </c>
      <c r="J6" s="22">
        <f t="shared" si="1"/>
        <v>51</v>
      </c>
      <c r="K6" s="22">
        <f t="shared" si="1"/>
        <v>51</v>
      </c>
      <c r="L6" s="23">
        <f t="shared" si="1"/>
        <v>5051</v>
      </c>
      <c r="M6" s="24">
        <f t="shared" si="1"/>
        <v>5051</v>
      </c>
      <c r="N6" s="24">
        <f t="shared" si="1"/>
        <v>5051</v>
      </c>
      <c r="O6" s="25">
        <f t="shared" ref="O6:O19" si="2">SUM(C6:N6)</f>
        <v>15459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6.5" customHeight="1">
      <c r="A7" s="19"/>
      <c r="B7" s="26" t="s">
        <v>20</v>
      </c>
      <c r="C7" s="27">
        <v>0.0</v>
      </c>
      <c r="D7" s="27">
        <v>0.0</v>
      </c>
      <c r="E7" s="27">
        <v>0.0</v>
      </c>
      <c r="F7" s="28">
        <f>(1*'Kanäle'!$B$7)+(1*'Kanäle'!$C$7)+(1*'Kanäle'!$D$7)+(1*'Kanäle'!$E$7)</f>
        <v>0</v>
      </c>
      <c r="G7" s="28">
        <f>(1*'Kanäle'!$B$7)+(1*'Kanäle'!$C$7)+(1*'Kanäle'!$D$7)+(1*'Kanäle'!$E$7)</f>
        <v>0</v>
      </c>
      <c r="H7" s="28">
        <f>(1*'Kanäle'!$B$7)+(1*'Kanäle'!$C$7)+(1*'Kanäle'!$D$7)+(1*'Kanäle'!$E$7)</f>
        <v>0</v>
      </c>
      <c r="I7" s="27">
        <f>(1*'Kanäle'!$B$7)+(2*'Kanäle'!$C$7)+(2*'Kanäle'!$D$7)+(2*'Kanäle'!$E$7)</f>
        <v>0</v>
      </c>
      <c r="J7" s="27">
        <f>(1*'Kanäle'!$B$7)+(2*'Kanäle'!$C$7)+(2*'Kanäle'!$D$7)+(2*'Kanäle'!$E$7)</f>
        <v>0</v>
      </c>
      <c r="K7" s="27">
        <f>(1*'Kanäle'!$B$7)+(2*'Kanäle'!$C$7)+(2*'Kanäle'!$D$7)+(2*'Kanäle'!$E$7)</f>
        <v>0</v>
      </c>
      <c r="L7" s="28">
        <v>5000.0</v>
      </c>
      <c r="M7" s="28">
        <v>5000.0</v>
      </c>
      <c r="N7" s="28">
        <v>5000.0</v>
      </c>
      <c r="O7" s="25">
        <f t="shared" si="2"/>
        <v>15000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6.5" customHeight="1">
      <c r="A8" s="19"/>
      <c r="B8" s="26" t="s">
        <v>21</v>
      </c>
      <c r="C8" s="27">
        <v>0.0</v>
      </c>
      <c r="D8" s="27">
        <v>0.0</v>
      </c>
      <c r="E8" s="27">
        <v>0.0</v>
      </c>
      <c r="F8" s="28">
        <f>'Kanäle'!$D$11+'Kanäle'!$E$11</f>
        <v>0</v>
      </c>
      <c r="G8" s="28">
        <f>'Kanäle'!$D$11+'Kanäle'!$E$11</f>
        <v>0</v>
      </c>
      <c r="H8" s="28">
        <f>'Kanäle'!$D$11+'Kanäle'!$E$11</f>
        <v>0</v>
      </c>
      <c r="I8" s="27">
        <f>'Kanäle'!$D$11+'Kanäle'!$E$11</f>
        <v>0</v>
      </c>
      <c r="J8" s="27">
        <f>'Kanäle'!$D$11+'Kanäle'!$E$11</f>
        <v>0</v>
      </c>
      <c r="K8" s="27">
        <f>'Kanäle'!$D$11+'Kanäle'!$E$11</f>
        <v>0</v>
      </c>
      <c r="L8" s="28">
        <f>'Kanäle'!$D$11+'Kanäle'!$E$11</f>
        <v>0</v>
      </c>
      <c r="M8" s="28">
        <f>'Kanäle'!$D$11+'Kanäle'!$E$11</f>
        <v>0</v>
      </c>
      <c r="N8" s="28">
        <f>'Kanäle'!$D$11+'Kanäle'!$E$11</f>
        <v>0</v>
      </c>
      <c r="O8" s="25">
        <f t="shared" si="2"/>
        <v>0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6.5" customHeight="1">
      <c r="A9" s="19"/>
      <c r="B9" s="26" t="s">
        <v>22</v>
      </c>
      <c r="C9" s="27">
        <v>0.0</v>
      </c>
      <c r="D9" s="27">
        <v>0.0</v>
      </c>
      <c r="E9" s="27">
        <v>0.0</v>
      </c>
      <c r="F9" s="28">
        <v>0.0</v>
      </c>
      <c r="G9" s="28">
        <v>0.0</v>
      </c>
      <c r="H9" s="28">
        <f>'Kanäle'!$B$15+'Kanäle'!$C$15+'Kanäle'!$D$15+'Kanäle'!$E$15+'Kanäle'!$F$15+'Kanäle'!$G$15</f>
        <v>0</v>
      </c>
      <c r="I9" s="27">
        <v>0.0</v>
      </c>
      <c r="J9" s="27">
        <v>0.0</v>
      </c>
      <c r="K9" s="27">
        <f>'Kanäle'!$B$15+'Kanäle'!$C$15+'Kanäle'!$D$15+'Kanäle'!$E$15+'Kanäle'!$F$15+'Kanäle'!$G$15</f>
        <v>0</v>
      </c>
      <c r="L9" s="28">
        <v>0.0</v>
      </c>
      <c r="M9" s="28">
        <v>0.0</v>
      </c>
      <c r="N9" s="28">
        <f>'Kanäle'!$B$15+'Kanäle'!$C$15+'Kanäle'!$D$15+'Kanäle'!$E$15+'Kanäle'!$F$15+'Kanäle'!$G$15</f>
        <v>0</v>
      </c>
      <c r="O9" s="25">
        <f t="shared" si="2"/>
        <v>0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6.5" customHeight="1">
      <c r="A10" s="19"/>
      <c r="B10" s="26" t="s">
        <v>23</v>
      </c>
      <c r="C10" s="27">
        <v>0.0</v>
      </c>
      <c r="D10" s="27">
        <v>0.0</v>
      </c>
      <c r="E10" s="27">
        <v>0.0</v>
      </c>
      <c r="F10" s="28"/>
      <c r="G10" s="28"/>
      <c r="H10" s="28"/>
      <c r="I10" s="27"/>
      <c r="J10" s="27"/>
      <c r="K10" s="27"/>
      <c r="L10" s="28"/>
      <c r="M10" s="28"/>
      <c r="N10" s="28"/>
      <c r="O10" s="25">
        <f t="shared" si="2"/>
        <v>0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6.5" customHeight="1">
      <c r="A11" s="19"/>
      <c r="B11" s="26" t="s">
        <v>24</v>
      </c>
      <c r="C11" s="27">
        <v>0.0</v>
      </c>
      <c r="D11" s="27">
        <v>0.0</v>
      </c>
      <c r="E11" s="27">
        <v>0.0</v>
      </c>
      <c r="F11" s="28"/>
      <c r="G11" s="28"/>
      <c r="H11" s="28"/>
      <c r="I11" s="27"/>
      <c r="J11" s="27"/>
      <c r="K11" s="27"/>
      <c r="L11" s="28"/>
      <c r="M11" s="28"/>
      <c r="N11" s="28"/>
      <c r="O11" s="25">
        <f t="shared" si="2"/>
        <v>0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6.5" customHeight="1">
      <c r="A12" s="19"/>
      <c r="B12" s="26" t="s">
        <v>25</v>
      </c>
      <c r="C12" s="27">
        <v>0.0</v>
      </c>
      <c r="D12" s="27">
        <v>0.0</v>
      </c>
      <c r="E12" s="27">
        <v>0.0</v>
      </c>
      <c r="F12" s="28"/>
      <c r="G12" s="28"/>
      <c r="H12" s="28"/>
      <c r="I12" s="27"/>
      <c r="J12" s="27"/>
      <c r="K12" s="27"/>
      <c r="L12" s="28"/>
      <c r="M12" s="28"/>
      <c r="N12" s="28"/>
      <c r="O12" s="25">
        <f t="shared" si="2"/>
        <v>0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6.5" customHeight="1">
      <c r="A13" s="19"/>
      <c r="B13" s="26" t="s">
        <v>26</v>
      </c>
      <c r="C13" s="27">
        <v>0.0</v>
      </c>
      <c r="D13" s="27">
        <v>0.0</v>
      </c>
      <c r="E13" s="27">
        <v>0.0</v>
      </c>
      <c r="F13" s="28"/>
      <c r="G13" s="28"/>
      <c r="H13" s="28"/>
      <c r="I13" s="27"/>
      <c r="J13" s="27"/>
      <c r="K13" s="27"/>
      <c r="L13" s="28"/>
      <c r="M13" s="28"/>
      <c r="N13" s="28"/>
      <c r="O13" s="25">
        <f t="shared" si="2"/>
        <v>0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6.5" customHeight="1">
      <c r="A14" s="19"/>
      <c r="B14" s="26" t="s">
        <v>27</v>
      </c>
      <c r="C14" s="27">
        <v>0.0</v>
      </c>
      <c r="D14" s="27">
        <v>0.0</v>
      </c>
      <c r="E14" s="27">
        <v>0.0</v>
      </c>
      <c r="F14" s="28">
        <f>'Kanäle'!$B$38+'Kanäle'!$C$38+'Kanäle'!$E$38</f>
        <v>51</v>
      </c>
      <c r="G14" s="28">
        <f>'Kanäle'!$B$38+'Kanäle'!$C$38+'Kanäle'!$E$38</f>
        <v>51</v>
      </c>
      <c r="H14" s="28">
        <f>'Kanäle'!$B$38+'Kanäle'!$C$38+'Kanäle'!$E$38</f>
        <v>51</v>
      </c>
      <c r="I14" s="27">
        <f>'Kanäle'!$B$38+'Kanäle'!$C$38+'Kanäle'!$E$38</f>
        <v>51</v>
      </c>
      <c r="J14" s="27">
        <f>'Kanäle'!$B$38+'Kanäle'!$C$38+'Kanäle'!$E$38</f>
        <v>51</v>
      </c>
      <c r="K14" s="27">
        <f>'Kanäle'!$B$38+'Kanäle'!$C$38+'Kanäle'!$E$38</f>
        <v>51</v>
      </c>
      <c r="L14" s="28">
        <f>'Kanäle'!$B$38+'Kanäle'!$C$38+'Kanäle'!$E$38</f>
        <v>51</v>
      </c>
      <c r="M14" s="28">
        <f>'Kanäle'!$B$38+'Kanäle'!$C$38+'Kanäle'!$E$38</f>
        <v>51</v>
      </c>
      <c r="N14" s="28">
        <f>'Kanäle'!$B$38+'Kanäle'!$C$38+'Kanäle'!$E$38</f>
        <v>51</v>
      </c>
      <c r="O14" s="25">
        <f t="shared" si="2"/>
        <v>459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6.5" customHeight="1">
      <c r="A15" s="19"/>
      <c r="B15" s="29" t="s">
        <v>28</v>
      </c>
      <c r="C15" s="27">
        <v>0.0</v>
      </c>
      <c r="D15" s="27">
        <v>0.0</v>
      </c>
      <c r="E15" s="27">
        <v>0.0</v>
      </c>
      <c r="F15" s="28">
        <v>0.0</v>
      </c>
      <c r="G15" s="28">
        <v>0.0</v>
      </c>
      <c r="H15" s="28">
        <v>0.0</v>
      </c>
      <c r="I15" s="27">
        <v>0.0</v>
      </c>
      <c r="J15" s="27">
        <v>0.0</v>
      </c>
      <c r="K15" s="27">
        <v>0.0</v>
      </c>
      <c r="L15" s="28">
        <v>0.0</v>
      </c>
      <c r="M15" s="28">
        <v>0.0</v>
      </c>
      <c r="N15" s="28">
        <v>0.0</v>
      </c>
      <c r="O15" s="25">
        <f t="shared" si="2"/>
        <v>0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6.5" customHeight="1">
      <c r="A16" s="19"/>
      <c r="B16" s="20" t="s">
        <v>29</v>
      </c>
      <c r="C16" s="21">
        <f t="shared" ref="C16:N16" si="3">SUM(C17:C18)</f>
        <v>0</v>
      </c>
      <c r="D16" s="21">
        <f t="shared" si="3"/>
        <v>0</v>
      </c>
      <c r="E16" s="21">
        <f t="shared" si="3"/>
        <v>0</v>
      </c>
      <c r="F16" s="21">
        <f t="shared" si="3"/>
        <v>0</v>
      </c>
      <c r="G16" s="21">
        <f t="shared" si="3"/>
        <v>0</v>
      </c>
      <c r="H16" s="21">
        <f t="shared" si="3"/>
        <v>0</v>
      </c>
      <c r="I16" s="21">
        <f t="shared" si="3"/>
        <v>0</v>
      </c>
      <c r="J16" s="21">
        <f t="shared" si="3"/>
        <v>0</v>
      </c>
      <c r="K16" s="21">
        <f t="shared" si="3"/>
        <v>0</v>
      </c>
      <c r="L16" s="21">
        <f t="shared" si="3"/>
        <v>0</v>
      </c>
      <c r="M16" s="21">
        <f t="shared" si="3"/>
        <v>0</v>
      </c>
      <c r="N16" s="21">
        <f t="shared" si="3"/>
        <v>0</v>
      </c>
      <c r="O16" s="25">
        <f t="shared" si="2"/>
        <v>0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6.5" customHeight="1">
      <c r="A17" s="19"/>
      <c r="B17" s="26" t="s">
        <v>30</v>
      </c>
      <c r="C17" s="27">
        <v>0.0</v>
      </c>
      <c r="D17" s="27">
        <v>0.0</v>
      </c>
      <c r="E17" s="27">
        <f>Invest!$B$3+Invest!$C$3+'Kanäle'!$B$42+'Kanäle'!$C$42</f>
        <v>0</v>
      </c>
      <c r="F17" s="28">
        <v>0.0</v>
      </c>
      <c r="G17" s="28">
        <v>0.0</v>
      </c>
      <c r="H17" s="28"/>
      <c r="I17" s="27">
        <v>0.0</v>
      </c>
      <c r="J17" s="27">
        <v>0.0</v>
      </c>
      <c r="K17" s="27">
        <v>0.0</v>
      </c>
      <c r="L17" s="28">
        <v>0.0</v>
      </c>
      <c r="M17" s="28">
        <v>0.0</v>
      </c>
      <c r="N17" s="28">
        <v>0.0</v>
      </c>
      <c r="O17" s="25">
        <f t="shared" si="2"/>
        <v>0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6.5" customHeight="1">
      <c r="A18" s="19"/>
      <c r="B18" s="30" t="s">
        <v>31</v>
      </c>
      <c r="C18" s="27">
        <v>0.0</v>
      </c>
      <c r="D18" s="27">
        <v>0.0</v>
      </c>
      <c r="E18" s="27">
        <f>Invest!$B$9+Invest!$C$9</f>
        <v>0</v>
      </c>
      <c r="F18" s="28">
        <f>Invest!$B$9+Invest!$C$9</f>
        <v>0</v>
      </c>
      <c r="G18" s="28">
        <f>Invest!$B$9+Invest!$C$9</f>
        <v>0</v>
      </c>
      <c r="H18" s="28">
        <f>Invest!$B$9+Invest!$C$9</f>
        <v>0</v>
      </c>
      <c r="I18" s="27">
        <v>0.0</v>
      </c>
      <c r="J18" s="27">
        <v>0.0</v>
      </c>
      <c r="K18" s="27">
        <v>0.0</v>
      </c>
      <c r="L18" s="28">
        <v>0.0</v>
      </c>
      <c r="M18" s="28">
        <v>0.0</v>
      </c>
      <c r="N18" s="28">
        <v>0.0</v>
      </c>
      <c r="O18" s="25">
        <f t="shared" si="2"/>
        <v>0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6.5" customHeight="1">
      <c r="A19" s="19"/>
      <c r="B19" s="17" t="s">
        <v>32</v>
      </c>
      <c r="C19" s="31">
        <f t="shared" ref="C19:N19" si="4">SUM(C6+C16)</f>
        <v>0</v>
      </c>
      <c r="D19" s="31">
        <f t="shared" si="4"/>
        <v>0</v>
      </c>
      <c r="E19" s="31">
        <f t="shared" si="4"/>
        <v>0</v>
      </c>
      <c r="F19" s="31">
        <f t="shared" si="4"/>
        <v>51</v>
      </c>
      <c r="G19" s="31">
        <f t="shared" si="4"/>
        <v>51</v>
      </c>
      <c r="H19" s="31">
        <f t="shared" si="4"/>
        <v>51</v>
      </c>
      <c r="I19" s="31">
        <f t="shared" si="4"/>
        <v>51</v>
      </c>
      <c r="J19" s="31">
        <f t="shared" si="4"/>
        <v>51</v>
      </c>
      <c r="K19" s="31">
        <f t="shared" si="4"/>
        <v>51</v>
      </c>
      <c r="L19" s="31">
        <f t="shared" si="4"/>
        <v>5051</v>
      </c>
      <c r="M19" s="31">
        <f t="shared" si="4"/>
        <v>5051</v>
      </c>
      <c r="N19" s="31">
        <f t="shared" si="4"/>
        <v>5051</v>
      </c>
      <c r="O19" s="32">
        <f t="shared" si="2"/>
        <v>15459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6.5" customHeight="1">
      <c r="A20" s="1"/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5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9">
        <v>2023.0</v>
      </c>
      <c r="C22" s="10" t="s">
        <v>2</v>
      </c>
      <c r="D22" s="11"/>
      <c r="E22" s="11"/>
      <c r="F22" s="36" t="s">
        <v>3</v>
      </c>
      <c r="G22" s="11"/>
      <c r="H22" s="11"/>
      <c r="I22" s="37" t="s">
        <v>4</v>
      </c>
      <c r="J22" s="11"/>
      <c r="K22" s="11"/>
      <c r="L22" s="36" t="s">
        <v>5</v>
      </c>
      <c r="M22" s="11"/>
      <c r="N22" s="11"/>
      <c r="O22" s="38" t="s">
        <v>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4"/>
      <c r="C23" s="15" t="s">
        <v>7</v>
      </c>
      <c r="D23" s="16" t="s">
        <v>8</v>
      </c>
      <c r="E23" s="16" t="s">
        <v>9</v>
      </c>
      <c r="F23" s="17" t="s">
        <v>10</v>
      </c>
      <c r="G23" s="18" t="s">
        <v>11</v>
      </c>
      <c r="H23" s="18" t="s">
        <v>12</v>
      </c>
      <c r="I23" s="15" t="s">
        <v>13</v>
      </c>
      <c r="J23" s="16" t="s">
        <v>14</v>
      </c>
      <c r="K23" s="16" t="s">
        <v>15</v>
      </c>
      <c r="L23" s="17" t="s">
        <v>16</v>
      </c>
      <c r="M23" s="18" t="s">
        <v>17</v>
      </c>
      <c r="N23" s="18" t="s">
        <v>18</v>
      </c>
      <c r="O23" s="39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20" t="s">
        <v>19</v>
      </c>
      <c r="C24" s="21">
        <f t="shared" ref="C24:N24" si="5">SUM(C25:C32)</f>
        <v>18176</v>
      </c>
      <c r="D24" s="22">
        <f t="shared" si="5"/>
        <v>18176</v>
      </c>
      <c r="E24" s="22">
        <f t="shared" si="5"/>
        <v>18176</v>
      </c>
      <c r="F24" s="23">
        <f t="shared" si="5"/>
        <v>18176</v>
      </c>
      <c r="G24" s="24">
        <f t="shared" si="5"/>
        <v>18176</v>
      </c>
      <c r="H24" s="24">
        <f t="shared" si="5"/>
        <v>18176</v>
      </c>
      <c r="I24" s="21">
        <f t="shared" si="5"/>
        <v>18176</v>
      </c>
      <c r="J24" s="22">
        <f t="shared" si="5"/>
        <v>18176</v>
      </c>
      <c r="K24" s="22">
        <f t="shared" si="5"/>
        <v>18176</v>
      </c>
      <c r="L24" s="23">
        <f t="shared" si="5"/>
        <v>18176</v>
      </c>
      <c r="M24" s="24">
        <f t="shared" si="5"/>
        <v>18176</v>
      </c>
      <c r="N24" s="24">
        <f t="shared" si="5"/>
        <v>18176</v>
      </c>
      <c r="O24" s="40">
        <f t="shared" ref="O24:O37" si="6">SUM(C24:N24)</f>
        <v>218112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26" t="s">
        <v>20</v>
      </c>
      <c r="C25" s="27">
        <v>5000.0</v>
      </c>
      <c r="D25" s="27">
        <v>5000.0</v>
      </c>
      <c r="E25" s="27">
        <v>5000.0</v>
      </c>
      <c r="F25" s="28">
        <v>5000.0</v>
      </c>
      <c r="G25" s="28">
        <v>5000.0</v>
      </c>
      <c r="H25" s="28">
        <v>5000.0</v>
      </c>
      <c r="I25" s="27">
        <v>5000.0</v>
      </c>
      <c r="J25" s="27">
        <v>5000.0</v>
      </c>
      <c r="K25" s="27">
        <v>5000.0</v>
      </c>
      <c r="L25" s="28">
        <v>5000.0</v>
      </c>
      <c r="M25" s="28">
        <v>5000.0</v>
      </c>
      <c r="N25" s="28">
        <v>5000.0</v>
      </c>
      <c r="O25" s="25">
        <f t="shared" si="6"/>
        <v>60000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26" t="s">
        <v>21</v>
      </c>
      <c r="C26" s="27">
        <v>0.0</v>
      </c>
      <c r="D26" s="27">
        <v>0.0</v>
      </c>
      <c r="E26" s="27">
        <v>0.0</v>
      </c>
      <c r="F26" s="28">
        <f>'Kanäle'!$D$11+'Kanäle'!$E$11</f>
        <v>0</v>
      </c>
      <c r="G26" s="28">
        <f>'Kanäle'!$D$11+'Kanäle'!$E$11</f>
        <v>0</v>
      </c>
      <c r="H26" s="28">
        <f>'Kanäle'!$D$11+'Kanäle'!$E$11</f>
        <v>0</v>
      </c>
      <c r="I26" s="27">
        <f>'Kanäle'!$D$11+'Kanäle'!$E$11</f>
        <v>0</v>
      </c>
      <c r="J26" s="27">
        <f>'Kanäle'!$D$11+'Kanäle'!$E$11</f>
        <v>0</v>
      </c>
      <c r="K26" s="27">
        <f>'Kanäle'!$D$11+'Kanäle'!$E$11</f>
        <v>0</v>
      </c>
      <c r="L26" s="28">
        <f>'Kanäle'!$D$11+'Kanäle'!$E$11</f>
        <v>0</v>
      </c>
      <c r="M26" s="28">
        <f>'Kanäle'!$D$11+'Kanäle'!$E$11</f>
        <v>0</v>
      </c>
      <c r="N26" s="28">
        <f>'Kanäle'!$D$11+'Kanäle'!$E$11</f>
        <v>0</v>
      </c>
      <c r="O26" s="25">
        <f t="shared" si="6"/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26" t="s">
        <v>22</v>
      </c>
      <c r="C27" s="27">
        <v>0.0</v>
      </c>
      <c r="D27" s="27">
        <v>0.0</v>
      </c>
      <c r="E27" s="27">
        <v>0.0</v>
      </c>
      <c r="F27" s="28">
        <v>0.0</v>
      </c>
      <c r="G27" s="28">
        <v>0.0</v>
      </c>
      <c r="H27" s="28">
        <f>'Kanäle'!$B$15+'Kanäle'!$C$15+'Kanäle'!$D$15+'Kanäle'!$E$15+'Kanäle'!$F$15+'Kanäle'!$G$15</f>
        <v>0</v>
      </c>
      <c r="I27" s="27">
        <v>0.0</v>
      </c>
      <c r="J27" s="27">
        <v>0.0</v>
      </c>
      <c r="K27" s="27">
        <f>'Kanäle'!$B$15+'Kanäle'!$C$15+'Kanäle'!$D$15+'Kanäle'!$E$15+'Kanäle'!$F$15+'Kanäle'!$G$15</f>
        <v>0</v>
      </c>
      <c r="L27" s="28">
        <v>0.0</v>
      </c>
      <c r="M27" s="28">
        <v>0.0</v>
      </c>
      <c r="N27" s="28">
        <f>'Kanäle'!$B$15+'Kanäle'!$C$15+'Kanäle'!$D$15+'Kanäle'!$E$15+'Kanäle'!$F$15+'Kanäle'!$G$15</f>
        <v>0</v>
      </c>
      <c r="O27" s="25">
        <f t="shared" si="6"/>
        <v>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26" t="s">
        <v>23</v>
      </c>
      <c r="C28" s="27">
        <v>4500.0</v>
      </c>
      <c r="D28" s="27">
        <v>4500.0</v>
      </c>
      <c r="E28" s="27">
        <v>4500.0</v>
      </c>
      <c r="F28" s="28">
        <f>'Kanäle'!$B$19+'Kanäle'!$E$19+'Kanäle'!$F$19+'Kanäle'!$G$19</f>
        <v>4500</v>
      </c>
      <c r="G28" s="28">
        <f>'Kanäle'!$B$19+'Kanäle'!$E$19+'Kanäle'!$F$19+'Kanäle'!$G$19</f>
        <v>4500</v>
      </c>
      <c r="H28" s="28">
        <f>'Kanäle'!$B$19+'Kanäle'!$E$19+'Kanäle'!$F$19+'Kanäle'!$G$19</f>
        <v>4500</v>
      </c>
      <c r="I28" s="27">
        <f>'Kanäle'!$B$19+'Kanäle'!$E$19+'Kanäle'!$F$19+'Kanäle'!$G$19</f>
        <v>4500</v>
      </c>
      <c r="J28" s="27">
        <f>'Kanäle'!$B$19+'Kanäle'!$E$19+'Kanäle'!$F$19+'Kanäle'!$G$19</f>
        <v>4500</v>
      </c>
      <c r="K28" s="27">
        <f>'Kanäle'!$B$19+'Kanäle'!$E$19+'Kanäle'!$F$19+'Kanäle'!$G$19</f>
        <v>4500</v>
      </c>
      <c r="L28" s="28">
        <f>'Kanäle'!$B$19+'Kanäle'!$E$19+'Kanäle'!$F$19+'Kanäle'!$G$19</f>
        <v>4500</v>
      </c>
      <c r="M28" s="28">
        <f>'Kanäle'!$B$19+'Kanäle'!$E$19+'Kanäle'!$F$19+'Kanäle'!$G$19</f>
        <v>4500</v>
      </c>
      <c r="N28" s="28">
        <f>'Kanäle'!$B$19+'Kanäle'!$E$19+'Kanäle'!$F$19+'Kanäle'!$G$19</f>
        <v>4500</v>
      </c>
      <c r="O28" s="25">
        <f t="shared" si="6"/>
        <v>54000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26" t="s">
        <v>24</v>
      </c>
      <c r="C29" s="27">
        <v>4500.0</v>
      </c>
      <c r="D29" s="27">
        <v>4500.0</v>
      </c>
      <c r="E29" s="27">
        <v>4500.0</v>
      </c>
      <c r="F29" s="28">
        <f>'Kanäle'!$C$24+'Kanäle'!$D$24+'Kanäle'!$E$24</f>
        <v>4500</v>
      </c>
      <c r="G29" s="28">
        <f>'Kanäle'!$C$24+'Kanäle'!$D$24+'Kanäle'!$E$24</f>
        <v>4500</v>
      </c>
      <c r="H29" s="28">
        <f>'Kanäle'!$C$24+'Kanäle'!$D$24+'Kanäle'!$E$24</f>
        <v>4500</v>
      </c>
      <c r="I29" s="27">
        <f>'Kanäle'!$C$24+'Kanäle'!$D$24+'Kanäle'!$E$24</f>
        <v>4500</v>
      </c>
      <c r="J29" s="27">
        <f>'Kanäle'!$C$24+'Kanäle'!$D$24+'Kanäle'!$E$24</f>
        <v>4500</v>
      </c>
      <c r="K29" s="27">
        <f>'Kanäle'!$C$24+'Kanäle'!$D$24+'Kanäle'!$E$24</f>
        <v>4500</v>
      </c>
      <c r="L29" s="28">
        <f>'Kanäle'!$C$24+'Kanäle'!$D$24+'Kanäle'!$E$24</f>
        <v>4500</v>
      </c>
      <c r="M29" s="28">
        <f>'Kanäle'!$C$24+'Kanäle'!$D$24+'Kanäle'!$E$24</f>
        <v>4500</v>
      </c>
      <c r="N29" s="28">
        <f>'Kanäle'!$C$24+'Kanäle'!$D$24+'Kanäle'!$E$24</f>
        <v>4500</v>
      </c>
      <c r="O29" s="25">
        <f t="shared" si="6"/>
        <v>54000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26" t="s">
        <v>25</v>
      </c>
      <c r="C30" s="27">
        <v>1125.0</v>
      </c>
      <c r="D30" s="27">
        <v>1125.0</v>
      </c>
      <c r="E30" s="27">
        <v>1125.0</v>
      </c>
      <c r="F30" s="28">
        <f>'Kanäle'!$B$29</f>
        <v>1125</v>
      </c>
      <c r="G30" s="28">
        <f>'Kanäle'!$B$29</f>
        <v>1125</v>
      </c>
      <c r="H30" s="28">
        <f>'Kanäle'!$B$29</f>
        <v>1125</v>
      </c>
      <c r="I30" s="27">
        <f>'Kanäle'!$B$29</f>
        <v>1125</v>
      </c>
      <c r="J30" s="27">
        <f>'Kanäle'!$B$29</f>
        <v>1125</v>
      </c>
      <c r="K30" s="27">
        <f>'Kanäle'!$B$29</f>
        <v>1125</v>
      </c>
      <c r="L30" s="28">
        <f>'Kanäle'!$B$29</f>
        <v>1125</v>
      </c>
      <c r="M30" s="28">
        <f>'Kanäle'!$B$29</f>
        <v>1125</v>
      </c>
      <c r="N30" s="28">
        <f>'Kanäle'!$B$29</f>
        <v>1125</v>
      </c>
      <c r="O30" s="25">
        <f t="shared" si="6"/>
        <v>13500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26" t="s">
        <v>26</v>
      </c>
      <c r="C31" s="27">
        <v>3000.0</v>
      </c>
      <c r="D31" s="27">
        <v>3000.0</v>
      </c>
      <c r="E31" s="27">
        <v>3000.0</v>
      </c>
      <c r="F31" s="28">
        <f>'Kanäle'!$B$34+'Kanäle'!$C$34+'Kanäle'!$D$34+'Kanäle'!$E$34</f>
        <v>3000</v>
      </c>
      <c r="G31" s="28">
        <f>'Kanäle'!$B$34+'Kanäle'!$C$34+'Kanäle'!$D$34+'Kanäle'!$E$34</f>
        <v>3000</v>
      </c>
      <c r="H31" s="28">
        <f>'Kanäle'!$B$34+'Kanäle'!$C$34+'Kanäle'!$D$34+'Kanäle'!$E$34</f>
        <v>3000</v>
      </c>
      <c r="I31" s="27">
        <f>'Kanäle'!$B$34+'Kanäle'!$C$34+'Kanäle'!$D$34+'Kanäle'!$E$34</f>
        <v>3000</v>
      </c>
      <c r="J31" s="27">
        <f>'Kanäle'!$B$34+'Kanäle'!$C$34+'Kanäle'!$D$34+'Kanäle'!$E$34</f>
        <v>3000</v>
      </c>
      <c r="K31" s="27">
        <f>'Kanäle'!$B$34+'Kanäle'!$C$34+'Kanäle'!$D$34+'Kanäle'!$E$34</f>
        <v>3000</v>
      </c>
      <c r="L31" s="28">
        <f>'Kanäle'!$B$34+'Kanäle'!$C$34+'Kanäle'!$D$34+'Kanäle'!$E$34</f>
        <v>3000</v>
      </c>
      <c r="M31" s="28">
        <f>'Kanäle'!$B$34+'Kanäle'!$C$34+'Kanäle'!$D$34+'Kanäle'!$E$34</f>
        <v>3000</v>
      </c>
      <c r="N31" s="28">
        <f>'Kanäle'!$B$34+'Kanäle'!$C$34+'Kanäle'!$D$34+'Kanäle'!$E$34</f>
        <v>3000</v>
      </c>
      <c r="O31" s="25">
        <f t="shared" si="6"/>
        <v>36000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26" t="s">
        <v>27</v>
      </c>
      <c r="C32" s="27">
        <v>51.0</v>
      </c>
      <c r="D32" s="27">
        <v>51.0</v>
      </c>
      <c r="E32" s="27">
        <v>51.0</v>
      </c>
      <c r="F32" s="28">
        <f>'Kanäle'!$B$38+'Kanäle'!$C$38+'Kanäle'!$E$38</f>
        <v>51</v>
      </c>
      <c r="G32" s="28">
        <f>'Kanäle'!$B$38+'Kanäle'!$C$38+'Kanäle'!$E$38</f>
        <v>51</v>
      </c>
      <c r="H32" s="28">
        <f>'Kanäle'!$B$38+'Kanäle'!$C$38+'Kanäle'!$E$38</f>
        <v>51</v>
      </c>
      <c r="I32" s="27">
        <f>'Kanäle'!$B$38+'Kanäle'!$C$38+'Kanäle'!$E$38</f>
        <v>51</v>
      </c>
      <c r="J32" s="27">
        <f>'Kanäle'!$B$38+'Kanäle'!$C$38+'Kanäle'!$E$38</f>
        <v>51</v>
      </c>
      <c r="K32" s="27">
        <f>'Kanäle'!$B$38+'Kanäle'!$C$38+'Kanäle'!$E$38</f>
        <v>51</v>
      </c>
      <c r="L32" s="28">
        <f>'Kanäle'!$B$38+'Kanäle'!$C$38+'Kanäle'!$E$38</f>
        <v>51</v>
      </c>
      <c r="M32" s="28">
        <f>'Kanäle'!$B$38+'Kanäle'!$C$38+'Kanäle'!$E$38</f>
        <v>51</v>
      </c>
      <c r="N32" s="28">
        <f>'Kanäle'!$B$38+'Kanäle'!$C$38+'Kanäle'!$E$38</f>
        <v>51</v>
      </c>
      <c r="O32" s="25">
        <f t="shared" si="6"/>
        <v>612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29" t="s">
        <v>28</v>
      </c>
      <c r="C33" s="27">
        <v>0.0</v>
      </c>
      <c r="D33" s="27">
        <v>0.0</v>
      </c>
      <c r="E33" s="27">
        <v>0.0</v>
      </c>
      <c r="F33" s="28">
        <v>0.0</v>
      </c>
      <c r="G33" s="28">
        <v>0.0</v>
      </c>
      <c r="H33" s="28">
        <v>0.0</v>
      </c>
      <c r="I33" s="27">
        <v>0.0</v>
      </c>
      <c r="J33" s="27">
        <v>0.0</v>
      </c>
      <c r="K33" s="27">
        <v>0.0</v>
      </c>
      <c r="L33" s="28">
        <v>0.0</v>
      </c>
      <c r="M33" s="28">
        <v>0.0</v>
      </c>
      <c r="N33" s="28">
        <v>0.0</v>
      </c>
      <c r="O33" s="25">
        <f t="shared" si="6"/>
        <v>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20" t="s">
        <v>33</v>
      </c>
      <c r="C34" s="21">
        <f t="shared" ref="C34:N34" si="7">SUM(C35:C36)</f>
        <v>2500</v>
      </c>
      <c r="D34" s="21">
        <f t="shared" si="7"/>
        <v>0</v>
      </c>
      <c r="E34" s="21">
        <f t="shared" si="7"/>
        <v>0</v>
      </c>
      <c r="F34" s="21">
        <f t="shared" si="7"/>
        <v>0</v>
      </c>
      <c r="G34" s="21">
        <f t="shared" si="7"/>
        <v>0</v>
      </c>
      <c r="H34" s="21">
        <f t="shared" si="7"/>
        <v>0</v>
      </c>
      <c r="I34" s="21">
        <f t="shared" si="7"/>
        <v>0</v>
      </c>
      <c r="J34" s="21">
        <f t="shared" si="7"/>
        <v>0</v>
      </c>
      <c r="K34" s="21">
        <f t="shared" si="7"/>
        <v>0</v>
      </c>
      <c r="L34" s="21">
        <f t="shared" si="7"/>
        <v>0</v>
      </c>
      <c r="M34" s="21">
        <f t="shared" si="7"/>
        <v>0</v>
      </c>
      <c r="N34" s="21">
        <f t="shared" si="7"/>
        <v>0</v>
      </c>
      <c r="O34" s="25">
        <f t="shared" si="6"/>
        <v>2500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26" t="s">
        <v>30</v>
      </c>
      <c r="C35" s="27">
        <v>2500.0</v>
      </c>
      <c r="D35" s="27"/>
      <c r="E35" s="27"/>
      <c r="F35" s="28">
        <f>'Kanäle'!$B$42+'Kanäle'!$C$42+Invest!$D$3</f>
        <v>0</v>
      </c>
      <c r="G35" s="28"/>
      <c r="H35" s="28"/>
      <c r="I35" s="27">
        <f>'Kanäle'!$B$42+'Kanäle'!$C$42+Invest!$D$3</f>
        <v>0</v>
      </c>
      <c r="J35" s="27"/>
      <c r="K35" s="27"/>
      <c r="L35" s="28">
        <f>'Kanäle'!$B$42+'Kanäle'!$C$42+Invest!$D$3</f>
        <v>0</v>
      </c>
      <c r="M35" s="28"/>
      <c r="N35" s="28"/>
      <c r="O35" s="25">
        <f t="shared" si="6"/>
        <v>2500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30" t="s">
        <v>34</v>
      </c>
      <c r="C36" s="27"/>
      <c r="D36" s="27"/>
      <c r="E36" s="27">
        <f>Invest!$B$9+Invest!$C$9</f>
        <v>0</v>
      </c>
      <c r="F36" s="28">
        <f>Invest!$B$9+Invest!$C$9</f>
        <v>0</v>
      </c>
      <c r="G36" s="28">
        <f>Invest!$B$9+Invest!$C$9</f>
        <v>0</v>
      </c>
      <c r="H36" s="28">
        <f>Invest!$B$9+Invest!$C$9</f>
        <v>0</v>
      </c>
      <c r="I36" s="27">
        <f>Invest!$B$9+Invest!$C$9</f>
        <v>0</v>
      </c>
      <c r="J36" s="27">
        <f>Invest!$B$9+Invest!$C$9</f>
        <v>0</v>
      </c>
      <c r="K36" s="27">
        <f>Invest!$B$9+Invest!$C$9</f>
        <v>0</v>
      </c>
      <c r="L36" s="28">
        <f>Invest!$B$9+Invest!$C$9</f>
        <v>0</v>
      </c>
      <c r="M36" s="28">
        <f>Invest!$B$9+Invest!$C$9</f>
        <v>0</v>
      </c>
      <c r="N36" s="28">
        <f>Invest!$B$9+Invest!$C$9</f>
        <v>0</v>
      </c>
      <c r="O36" s="25">
        <f t="shared" si="6"/>
        <v>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7" t="s">
        <v>32</v>
      </c>
      <c r="C37" s="31">
        <f t="shared" ref="C37:N37" si="8">SUM(C24+C34)</f>
        <v>20676</v>
      </c>
      <c r="D37" s="31">
        <f t="shared" si="8"/>
        <v>18176</v>
      </c>
      <c r="E37" s="31">
        <f t="shared" si="8"/>
        <v>18176</v>
      </c>
      <c r="F37" s="31">
        <f t="shared" si="8"/>
        <v>18176</v>
      </c>
      <c r="G37" s="31">
        <f t="shared" si="8"/>
        <v>18176</v>
      </c>
      <c r="H37" s="31">
        <f t="shared" si="8"/>
        <v>18176</v>
      </c>
      <c r="I37" s="31">
        <f t="shared" si="8"/>
        <v>18176</v>
      </c>
      <c r="J37" s="31">
        <f t="shared" si="8"/>
        <v>18176</v>
      </c>
      <c r="K37" s="31">
        <f t="shared" si="8"/>
        <v>18176</v>
      </c>
      <c r="L37" s="31">
        <f t="shared" si="8"/>
        <v>18176</v>
      </c>
      <c r="M37" s="31">
        <f t="shared" si="8"/>
        <v>18176</v>
      </c>
      <c r="N37" s="31">
        <f t="shared" si="8"/>
        <v>18176</v>
      </c>
      <c r="O37" s="32">
        <f t="shared" si="6"/>
        <v>220612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9">
        <v>2024.0</v>
      </c>
      <c r="C40" s="10" t="s">
        <v>2</v>
      </c>
      <c r="D40" s="11"/>
      <c r="E40" s="11"/>
      <c r="F40" s="36" t="s">
        <v>3</v>
      </c>
      <c r="G40" s="11"/>
      <c r="H40" s="11"/>
      <c r="I40" s="37" t="s">
        <v>4</v>
      </c>
      <c r="J40" s="11"/>
      <c r="K40" s="11"/>
      <c r="L40" s="36" t="s">
        <v>5</v>
      </c>
      <c r="M40" s="11"/>
      <c r="N40" s="11"/>
      <c r="O40" s="38" t="s">
        <v>6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4"/>
      <c r="C41" s="15" t="s">
        <v>7</v>
      </c>
      <c r="D41" s="16" t="s">
        <v>8</v>
      </c>
      <c r="E41" s="16" t="s">
        <v>9</v>
      </c>
      <c r="F41" s="17" t="s">
        <v>10</v>
      </c>
      <c r="G41" s="18" t="s">
        <v>11</v>
      </c>
      <c r="H41" s="18" t="s">
        <v>12</v>
      </c>
      <c r="I41" s="15" t="s">
        <v>13</v>
      </c>
      <c r="J41" s="16" t="s">
        <v>14</v>
      </c>
      <c r="K41" s="16" t="s">
        <v>15</v>
      </c>
      <c r="L41" s="17" t="s">
        <v>16</v>
      </c>
      <c r="M41" s="18" t="s">
        <v>17</v>
      </c>
      <c r="N41" s="18" t="s">
        <v>18</v>
      </c>
      <c r="O41" s="39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20" t="s">
        <v>19</v>
      </c>
      <c r="C42" s="21">
        <f t="shared" ref="C42:N42" si="9">SUM(C43:C50)</f>
        <v>18176</v>
      </c>
      <c r="D42" s="22">
        <f t="shared" si="9"/>
        <v>18176</v>
      </c>
      <c r="E42" s="22">
        <f t="shared" si="9"/>
        <v>18176</v>
      </c>
      <c r="F42" s="23">
        <f t="shared" si="9"/>
        <v>18176</v>
      </c>
      <c r="G42" s="24">
        <f t="shared" si="9"/>
        <v>18176</v>
      </c>
      <c r="H42" s="24">
        <f t="shared" si="9"/>
        <v>18176</v>
      </c>
      <c r="I42" s="21">
        <f t="shared" si="9"/>
        <v>18176</v>
      </c>
      <c r="J42" s="22">
        <f t="shared" si="9"/>
        <v>18176</v>
      </c>
      <c r="K42" s="22">
        <f t="shared" si="9"/>
        <v>18176</v>
      </c>
      <c r="L42" s="23">
        <f t="shared" si="9"/>
        <v>18176</v>
      </c>
      <c r="M42" s="24">
        <f t="shared" si="9"/>
        <v>18176</v>
      </c>
      <c r="N42" s="24">
        <f t="shared" si="9"/>
        <v>18176</v>
      </c>
      <c r="O42" s="40">
        <f t="shared" ref="O42:O55" si="10">SUM(C42:N42)</f>
        <v>218112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26" t="s">
        <v>20</v>
      </c>
      <c r="C43" s="27">
        <v>5000.0</v>
      </c>
      <c r="D43" s="27">
        <v>5000.0</v>
      </c>
      <c r="E43" s="27">
        <v>5000.0</v>
      </c>
      <c r="F43" s="28">
        <v>5000.0</v>
      </c>
      <c r="G43" s="28">
        <v>5000.0</v>
      </c>
      <c r="H43" s="28">
        <v>5000.0</v>
      </c>
      <c r="I43" s="27">
        <v>5000.0</v>
      </c>
      <c r="J43" s="27">
        <v>5000.0</v>
      </c>
      <c r="K43" s="27">
        <v>5000.0</v>
      </c>
      <c r="L43" s="28">
        <v>5000.0</v>
      </c>
      <c r="M43" s="28">
        <v>5000.0</v>
      </c>
      <c r="N43" s="28">
        <v>5000.0</v>
      </c>
      <c r="O43" s="25">
        <f t="shared" si="10"/>
        <v>60000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26" t="s">
        <v>21</v>
      </c>
      <c r="C44" s="27">
        <v>0.0</v>
      </c>
      <c r="D44" s="27">
        <v>0.0</v>
      </c>
      <c r="E44" s="27">
        <v>0.0</v>
      </c>
      <c r="F44" s="28">
        <f>'Kanäle'!$D$11+'Kanäle'!$E$11</f>
        <v>0</v>
      </c>
      <c r="G44" s="28">
        <f>'Kanäle'!$D$11+'Kanäle'!$E$11</f>
        <v>0</v>
      </c>
      <c r="H44" s="28">
        <f>'Kanäle'!$D$11+'Kanäle'!$E$11</f>
        <v>0</v>
      </c>
      <c r="I44" s="27">
        <f>'Kanäle'!$D$11+'Kanäle'!$E$11</f>
        <v>0</v>
      </c>
      <c r="J44" s="27">
        <f>'Kanäle'!$D$11+'Kanäle'!$E$11</f>
        <v>0</v>
      </c>
      <c r="K44" s="27">
        <f>'Kanäle'!$D$11+'Kanäle'!$E$11</f>
        <v>0</v>
      </c>
      <c r="L44" s="28">
        <f>'Kanäle'!$D$11+'Kanäle'!$E$11</f>
        <v>0</v>
      </c>
      <c r="M44" s="28">
        <f>'Kanäle'!$D$11+'Kanäle'!$E$11</f>
        <v>0</v>
      </c>
      <c r="N44" s="28">
        <f>'Kanäle'!$D$11+'Kanäle'!$E$11</f>
        <v>0</v>
      </c>
      <c r="O44" s="25">
        <f t="shared" si="10"/>
        <v>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26" t="s">
        <v>22</v>
      </c>
      <c r="C45" s="27">
        <v>0.0</v>
      </c>
      <c r="D45" s="27">
        <v>0.0</v>
      </c>
      <c r="E45" s="27">
        <v>0.0</v>
      </c>
      <c r="F45" s="28">
        <v>0.0</v>
      </c>
      <c r="G45" s="28">
        <v>0.0</v>
      </c>
      <c r="H45" s="28">
        <f>'Kanäle'!$B$15+'Kanäle'!$C$15+'Kanäle'!$D$15+'Kanäle'!$E$15+'Kanäle'!$F$15+'Kanäle'!$G$15</f>
        <v>0</v>
      </c>
      <c r="I45" s="27">
        <v>0.0</v>
      </c>
      <c r="J45" s="27">
        <v>0.0</v>
      </c>
      <c r="K45" s="27">
        <f>'Kanäle'!$B$15+'Kanäle'!$C$15+'Kanäle'!$D$15+'Kanäle'!$E$15+'Kanäle'!$F$15+'Kanäle'!$G$15</f>
        <v>0</v>
      </c>
      <c r="L45" s="28">
        <v>0.0</v>
      </c>
      <c r="M45" s="28">
        <v>0.0</v>
      </c>
      <c r="N45" s="28">
        <f>'Kanäle'!$B$15+'Kanäle'!$C$15+'Kanäle'!$D$15+'Kanäle'!$E$15+'Kanäle'!$F$15+'Kanäle'!$G$15</f>
        <v>0</v>
      </c>
      <c r="O45" s="25">
        <f t="shared" si="10"/>
        <v>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26" t="s">
        <v>23</v>
      </c>
      <c r="C46" s="27">
        <v>4500.0</v>
      </c>
      <c r="D46" s="27">
        <v>4500.0</v>
      </c>
      <c r="E46" s="27">
        <v>4500.0</v>
      </c>
      <c r="F46" s="28">
        <f>'Kanäle'!$B$19+'Kanäle'!$E$19+'Kanäle'!$F$19+'Kanäle'!$G$19</f>
        <v>4500</v>
      </c>
      <c r="G46" s="28">
        <f>'Kanäle'!$B$19+'Kanäle'!$E$19+'Kanäle'!$F$19+'Kanäle'!$G$19</f>
        <v>4500</v>
      </c>
      <c r="H46" s="28">
        <f>'Kanäle'!$B$19+'Kanäle'!$E$19+'Kanäle'!$F$19+'Kanäle'!$G$19</f>
        <v>4500</v>
      </c>
      <c r="I46" s="27">
        <f>'Kanäle'!$B$19+'Kanäle'!$E$19+'Kanäle'!$F$19+'Kanäle'!$G$19</f>
        <v>4500</v>
      </c>
      <c r="J46" s="27">
        <f>'Kanäle'!$B$19+'Kanäle'!$E$19+'Kanäle'!$F$19+'Kanäle'!$G$19</f>
        <v>4500</v>
      </c>
      <c r="K46" s="27">
        <f>'Kanäle'!$B$19+'Kanäle'!$E$19+'Kanäle'!$F$19+'Kanäle'!$G$19</f>
        <v>4500</v>
      </c>
      <c r="L46" s="28">
        <f>'Kanäle'!$B$19+'Kanäle'!$E$19+'Kanäle'!$F$19+'Kanäle'!$G$19</f>
        <v>4500</v>
      </c>
      <c r="M46" s="28">
        <f>'Kanäle'!$B$19+'Kanäle'!$E$19+'Kanäle'!$F$19+'Kanäle'!$G$19</f>
        <v>4500</v>
      </c>
      <c r="N46" s="28">
        <f>'Kanäle'!$B$19+'Kanäle'!$E$19+'Kanäle'!$F$19+'Kanäle'!$G$19</f>
        <v>4500</v>
      </c>
      <c r="O46" s="25">
        <f t="shared" si="10"/>
        <v>54000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26" t="s">
        <v>24</v>
      </c>
      <c r="C47" s="27">
        <v>4500.0</v>
      </c>
      <c r="D47" s="27">
        <v>4500.0</v>
      </c>
      <c r="E47" s="27">
        <v>4500.0</v>
      </c>
      <c r="F47" s="28">
        <f>'Kanäle'!$C$24+'Kanäle'!$D$24+'Kanäle'!$E$24</f>
        <v>4500</v>
      </c>
      <c r="G47" s="28">
        <f>'Kanäle'!$C$24+'Kanäle'!$D$24+'Kanäle'!$E$24</f>
        <v>4500</v>
      </c>
      <c r="H47" s="28">
        <f>'Kanäle'!$C$24+'Kanäle'!$D$24+'Kanäle'!$E$24</f>
        <v>4500</v>
      </c>
      <c r="I47" s="27">
        <f>'Kanäle'!$C$24+'Kanäle'!$D$24+'Kanäle'!$E$24</f>
        <v>4500</v>
      </c>
      <c r="J47" s="27">
        <f>'Kanäle'!$C$24+'Kanäle'!$D$24+'Kanäle'!$E$24</f>
        <v>4500</v>
      </c>
      <c r="K47" s="27">
        <f>'Kanäle'!$C$24+'Kanäle'!$D$24+'Kanäle'!$E$24</f>
        <v>4500</v>
      </c>
      <c r="L47" s="28">
        <f>'Kanäle'!$C$24+'Kanäle'!$D$24+'Kanäle'!$E$24</f>
        <v>4500</v>
      </c>
      <c r="M47" s="28">
        <f>'Kanäle'!$C$24+'Kanäle'!$D$24+'Kanäle'!$E$24</f>
        <v>4500</v>
      </c>
      <c r="N47" s="28">
        <f>'Kanäle'!$C$24+'Kanäle'!$D$24+'Kanäle'!$E$24</f>
        <v>4500</v>
      </c>
      <c r="O47" s="25">
        <f t="shared" si="10"/>
        <v>54000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26" t="s">
        <v>25</v>
      </c>
      <c r="C48" s="27">
        <v>1125.0</v>
      </c>
      <c r="D48" s="27">
        <v>1125.0</v>
      </c>
      <c r="E48" s="27">
        <v>1125.0</v>
      </c>
      <c r="F48" s="28">
        <f>'Kanäle'!$B$29</f>
        <v>1125</v>
      </c>
      <c r="G48" s="28">
        <f>'Kanäle'!$B$29</f>
        <v>1125</v>
      </c>
      <c r="H48" s="28">
        <f>'Kanäle'!$B$29</f>
        <v>1125</v>
      </c>
      <c r="I48" s="27">
        <f>'Kanäle'!$B$29</f>
        <v>1125</v>
      </c>
      <c r="J48" s="27">
        <f>'Kanäle'!$B$29</f>
        <v>1125</v>
      </c>
      <c r="K48" s="27">
        <f>'Kanäle'!$B$29</f>
        <v>1125</v>
      </c>
      <c r="L48" s="28">
        <f>'Kanäle'!$B$29</f>
        <v>1125</v>
      </c>
      <c r="M48" s="28">
        <f>'Kanäle'!$B$29</f>
        <v>1125</v>
      </c>
      <c r="N48" s="28">
        <f>'Kanäle'!$B$29</f>
        <v>1125</v>
      </c>
      <c r="O48" s="25">
        <f t="shared" si="10"/>
        <v>13500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26" t="s">
        <v>26</v>
      </c>
      <c r="C49" s="27">
        <v>3000.0</v>
      </c>
      <c r="D49" s="27">
        <v>3000.0</v>
      </c>
      <c r="E49" s="27">
        <v>3000.0</v>
      </c>
      <c r="F49" s="28">
        <f>'Kanäle'!$B$34+'Kanäle'!$C$34+'Kanäle'!$D$34+'Kanäle'!$E$34</f>
        <v>3000</v>
      </c>
      <c r="G49" s="28">
        <f>'Kanäle'!$B$34+'Kanäle'!$C$34+'Kanäle'!$D$34+'Kanäle'!$E$34</f>
        <v>3000</v>
      </c>
      <c r="H49" s="28">
        <f>'Kanäle'!$B$34+'Kanäle'!$C$34+'Kanäle'!$D$34+'Kanäle'!$E$34</f>
        <v>3000</v>
      </c>
      <c r="I49" s="27">
        <f>'Kanäle'!$B$34+'Kanäle'!$C$34+'Kanäle'!$D$34+'Kanäle'!$E$34</f>
        <v>3000</v>
      </c>
      <c r="J49" s="27">
        <f>'Kanäle'!$B$34+'Kanäle'!$C$34+'Kanäle'!$D$34+'Kanäle'!$E$34</f>
        <v>3000</v>
      </c>
      <c r="K49" s="27">
        <f>'Kanäle'!$B$34+'Kanäle'!$C$34+'Kanäle'!$D$34+'Kanäle'!$E$34</f>
        <v>3000</v>
      </c>
      <c r="L49" s="28">
        <f>'Kanäle'!$B$34+'Kanäle'!$C$34+'Kanäle'!$D$34+'Kanäle'!$E$34</f>
        <v>3000</v>
      </c>
      <c r="M49" s="28">
        <f>'Kanäle'!$B$34+'Kanäle'!$C$34+'Kanäle'!$D$34+'Kanäle'!$E$34</f>
        <v>3000</v>
      </c>
      <c r="N49" s="28">
        <f>'Kanäle'!$B$34+'Kanäle'!$C$34+'Kanäle'!$D$34+'Kanäle'!$E$34</f>
        <v>3000</v>
      </c>
      <c r="O49" s="25">
        <f t="shared" si="10"/>
        <v>36000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26" t="s">
        <v>27</v>
      </c>
      <c r="C50" s="27">
        <v>51.0</v>
      </c>
      <c r="D50" s="27">
        <v>51.0</v>
      </c>
      <c r="E50" s="27">
        <v>51.0</v>
      </c>
      <c r="F50" s="28">
        <f>'Kanäle'!$B$38+'Kanäle'!$C$38+'Kanäle'!$E$38</f>
        <v>51</v>
      </c>
      <c r="G50" s="28">
        <f>'Kanäle'!$B$38+'Kanäle'!$C$38+'Kanäle'!$E$38</f>
        <v>51</v>
      </c>
      <c r="H50" s="28">
        <f>'Kanäle'!$B$38+'Kanäle'!$C$38+'Kanäle'!$E$38</f>
        <v>51</v>
      </c>
      <c r="I50" s="27">
        <f>'Kanäle'!$B$38+'Kanäle'!$C$38+'Kanäle'!$E$38</f>
        <v>51</v>
      </c>
      <c r="J50" s="27">
        <f>'Kanäle'!$B$38+'Kanäle'!$C$38+'Kanäle'!$E$38</f>
        <v>51</v>
      </c>
      <c r="K50" s="27">
        <f>'Kanäle'!$B$38+'Kanäle'!$C$38+'Kanäle'!$E$38</f>
        <v>51</v>
      </c>
      <c r="L50" s="28">
        <f>'Kanäle'!$B$38+'Kanäle'!$C$38+'Kanäle'!$E$38</f>
        <v>51</v>
      </c>
      <c r="M50" s="28">
        <f>'Kanäle'!$B$38+'Kanäle'!$C$38+'Kanäle'!$E$38</f>
        <v>51</v>
      </c>
      <c r="N50" s="28">
        <f>'Kanäle'!$B$38+'Kanäle'!$C$38+'Kanäle'!$E$38</f>
        <v>51</v>
      </c>
      <c r="O50" s="25">
        <f t="shared" si="10"/>
        <v>612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29" t="s">
        <v>28</v>
      </c>
      <c r="C51" s="27">
        <v>0.0</v>
      </c>
      <c r="D51" s="27">
        <v>0.0</v>
      </c>
      <c r="E51" s="27">
        <v>0.0</v>
      </c>
      <c r="F51" s="28">
        <v>0.0</v>
      </c>
      <c r="G51" s="28">
        <v>0.0</v>
      </c>
      <c r="H51" s="28">
        <v>0.0</v>
      </c>
      <c r="I51" s="27">
        <v>0.0</v>
      </c>
      <c r="J51" s="27">
        <v>0.0</v>
      </c>
      <c r="K51" s="27">
        <v>0.0</v>
      </c>
      <c r="L51" s="28">
        <v>0.0</v>
      </c>
      <c r="M51" s="28">
        <v>0.0</v>
      </c>
      <c r="N51" s="28">
        <v>0.0</v>
      </c>
      <c r="O51" s="25">
        <f t="shared" si="10"/>
        <v>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20" t="s">
        <v>33</v>
      </c>
      <c r="C52" s="21">
        <f t="shared" ref="C52:N52" si="11">SUM(C53:C54)</f>
        <v>0</v>
      </c>
      <c r="D52" s="21">
        <f t="shared" si="11"/>
        <v>0</v>
      </c>
      <c r="E52" s="21">
        <f t="shared" si="11"/>
        <v>0</v>
      </c>
      <c r="F52" s="21">
        <f t="shared" si="11"/>
        <v>0</v>
      </c>
      <c r="G52" s="21">
        <f t="shared" si="11"/>
        <v>0</v>
      </c>
      <c r="H52" s="21">
        <f t="shared" si="11"/>
        <v>0</v>
      </c>
      <c r="I52" s="21">
        <f t="shared" si="11"/>
        <v>0</v>
      </c>
      <c r="J52" s="21">
        <f t="shared" si="11"/>
        <v>0</v>
      </c>
      <c r="K52" s="21">
        <f t="shared" si="11"/>
        <v>0</v>
      </c>
      <c r="L52" s="21">
        <f t="shared" si="11"/>
        <v>0</v>
      </c>
      <c r="M52" s="21">
        <f t="shared" si="11"/>
        <v>0</v>
      </c>
      <c r="N52" s="21">
        <f t="shared" si="11"/>
        <v>0</v>
      </c>
      <c r="O52" s="25">
        <f t="shared" si="10"/>
        <v>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26" t="s">
        <v>30</v>
      </c>
      <c r="C53" s="27">
        <f>'Kanäle'!$B$42+'Kanäle'!$C$42+Invest!$D$3</f>
        <v>0</v>
      </c>
      <c r="D53" s="27"/>
      <c r="E53" s="27"/>
      <c r="F53" s="28">
        <f>'Kanäle'!$B$42+'Kanäle'!$C$42+Invest!$D$3</f>
        <v>0</v>
      </c>
      <c r="G53" s="28"/>
      <c r="H53" s="28"/>
      <c r="I53" s="27">
        <f>'Kanäle'!$B$42+'Kanäle'!$C$42+Invest!$D$3</f>
        <v>0</v>
      </c>
      <c r="J53" s="27"/>
      <c r="K53" s="27"/>
      <c r="L53" s="28">
        <f>'Kanäle'!$B$42+'Kanäle'!$C$42+Invest!$D$3</f>
        <v>0</v>
      </c>
      <c r="M53" s="28"/>
      <c r="N53" s="28"/>
      <c r="O53" s="25">
        <f t="shared" si="10"/>
        <v>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30" t="s">
        <v>34</v>
      </c>
      <c r="C54" s="27">
        <f>Invest!$B$9+Invest!$C$9</f>
        <v>0</v>
      </c>
      <c r="D54" s="27">
        <f>Invest!$B$9+Invest!$C$9</f>
        <v>0</v>
      </c>
      <c r="E54" s="27">
        <f>Invest!$B$9+Invest!$C$9</f>
        <v>0</v>
      </c>
      <c r="F54" s="28">
        <f>Invest!$B$9+Invest!$C$9</f>
        <v>0</v>
      </c>
      <c r="G54" s="28">
        <f>Invest!$B$9+Invest!$C$9</f>
        <v>0</v>
      </c>
      <c r="H54" s="28">
        <f>Invest!$B$9+Invest!$C$9</f>
        <v>0</v>
      </c>
      <c r="I54" s="27">
        <f>Invest!$B$9+Invest!$C$9</f>
        <v>0</v>
      </c>
      <c r="J54" s="27">
        <f>Invest!$B$9+Invest!$C$9</f>
        <v>0</v>
      </c>
      <c r="K54" s="27">
        <f>Invest!$B$9+Invest!$C$9</f>
        <v>0</v>
      </c>
      <c r="L54" s="28">
        <f>Invest!$B$9+Invest!$C$9</f>
        <v>0</v>
      </c>
      <c r="M54" s="28">
        <f>Invest!$B$9+Invest!$C$9</f>
        <v>0</v>
      </c>
      <c r="N54" s="28">
        <f>Invest!$B$9+Invest!$C$9</f>
        <v>0</v>
      </c>
      <c r="O54" s="25">
        <f t="shared" si="10"/>
        <v>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7" t="s">
        <v>32</v>
      </c>
      <c r="C55" s="31">
        <f t="shared" ref="C55:N55" si="12">SUM(C42+C52)</f>
        <v>18176</v>
      </c>
      <c r="D55" s="31">
        <f t="shared" si="12"/>
        <v>18176</v>
      </c>
      <c r="E55" s="31">
        <f t="shared" si="12"/>
        <v>18176</v>
      </c>
      <c r="F55" s="31">
        <f t="shared" si="12"/>
        <v>18176</v>
      </c>
      <c r="G55" s="31">
        <f t="shared" si="12"/>
        <v>18176</v>
      </c>
      <c r="H55" s="31">
        <f t="shared" si="12"/>
        <v>18176</v>
      </c>
      <c r="I55" s="31">
        <f t="shared" si="12"/>
        <v>18176</v>
      </c>
      <c r="J55" s="31">
        <f t="shared" si="12"/>
        <v>18176</v>
      </c>
      <c r="K55" s="31">
        <f t="shared" si="12"/>
        <v>18176</v>
      </c>
      <c r="L55" s="31">
        <f t="shared" si="12"/>
        <v>18176</v>
      </c>
      <c r="M55" s="31">
        <f t="shared" si="12"/>
        <v>18176</v>
      </c>
      <c r="N55" s="31">
        <f t="shared" si="12"/>
        <v>18176</v>
      </c>
      <c r="O55" s="32">
        <f t="shared" si="10"/>
        <v>218112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33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5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3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3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3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3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3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3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3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3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3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3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3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3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3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3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3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3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3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3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3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3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3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3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3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3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3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3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3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3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3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3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3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3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3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3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3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3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3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3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3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3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3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3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3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3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3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3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3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3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3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3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3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3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3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3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3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3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3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3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3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3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3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3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3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3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3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3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3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3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3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3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3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3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3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3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3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3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3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3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3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3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3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3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3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3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3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3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3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3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3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3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3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3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3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3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3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3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3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3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3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3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3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3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3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3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3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3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3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3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3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3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3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3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3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3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3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3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3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3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3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3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3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3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3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3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3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3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3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3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3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3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3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3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3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3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3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3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3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3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3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3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3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3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3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3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3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3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3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3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3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3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3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3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3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3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3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3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3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3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3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3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3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3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3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3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3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3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3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3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3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3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3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3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3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3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3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3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3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3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3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3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3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3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3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3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3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3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3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3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3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3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3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3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3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3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3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3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3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3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3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3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3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3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3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3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3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3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3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3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3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3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3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3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3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3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3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3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3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3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3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3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3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3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3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3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3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3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3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3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3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3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3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3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3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3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3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3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3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3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3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3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3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3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3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3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3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3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3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3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3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3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3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3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3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3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3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3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3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3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3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3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3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3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3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3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3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3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3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3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3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3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3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3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3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3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3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3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3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3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3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3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3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3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3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3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3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3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3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3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3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3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3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3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3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3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3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3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3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3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3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3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3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3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3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3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3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3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3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3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3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3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3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3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3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3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3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3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3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3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3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3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3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3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3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3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3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3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3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3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3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3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3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3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3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3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3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3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3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3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3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3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3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3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3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3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3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3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3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3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3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3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3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3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3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3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3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3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3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3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3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3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3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3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3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3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3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3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3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3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3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3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3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3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3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3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3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3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3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3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3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3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3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3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3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3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3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3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3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3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3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3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3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3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3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3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3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3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3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3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3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3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3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3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3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3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3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3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3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3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3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3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3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3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3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3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3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3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3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3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3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3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3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3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3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3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3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3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3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3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3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3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3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3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3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3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3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3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3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3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3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3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3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3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3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3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3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3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3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3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3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3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3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3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3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3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3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3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3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3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3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3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3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3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3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3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3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3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3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3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3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3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3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3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3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3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3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3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3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3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3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3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3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3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3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3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3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3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3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3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3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3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3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3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3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3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3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3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3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3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3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3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3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3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3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3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3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3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3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3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3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3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3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3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3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3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3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3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3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3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3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3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3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3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3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3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3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3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3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3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3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3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3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3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3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3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3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3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3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3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3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3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3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3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3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3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3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3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3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3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3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3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3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3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3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3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3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3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3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3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3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3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3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3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3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3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3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3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3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3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3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3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3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3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3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3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3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3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3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3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3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3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3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3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3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3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3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3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3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3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3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3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3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3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3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3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3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3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3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3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3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3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3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3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3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3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3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3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3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3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3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3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3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3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3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3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3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3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3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3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3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3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3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3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3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3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3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3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3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3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3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3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3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3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3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3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3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3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3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3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3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3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3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3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3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3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3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3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3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3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3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3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3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3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3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3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3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3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3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3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3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3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3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3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3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3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3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3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3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3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3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3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3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3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3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3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3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3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3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3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3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3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3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3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3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3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3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3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3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3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3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3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3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3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3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3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3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3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3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3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3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3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3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3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3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3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3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3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3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3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3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3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3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3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3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3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3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3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3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3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3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3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3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3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3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3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3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3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3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3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3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3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3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3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3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3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3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3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3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3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3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3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3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3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3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3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3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3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3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3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3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3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3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3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3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3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3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3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3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3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3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3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3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3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3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3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3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3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3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3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3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3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3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3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3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3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3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3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3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3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3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3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3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3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3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3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3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3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3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3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3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3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3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3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3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3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3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3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3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3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3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3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3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3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3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3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3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3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3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3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3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3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3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3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3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3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3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3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3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3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3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3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3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3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3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3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3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3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3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3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3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3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3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3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3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3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3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3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3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3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3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3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3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3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3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3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3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3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3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3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3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3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3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3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3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3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3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3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3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3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3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3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3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3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3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3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3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3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3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3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3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3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3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3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3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3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3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3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3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3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3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3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3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3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3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3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3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3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3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3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3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3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3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3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3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3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3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3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3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3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3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3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3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3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3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3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3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3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3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3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3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3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3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3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3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3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3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3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3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3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3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3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3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3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3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3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3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3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3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3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3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3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</sheetData>
  <mergeCells count="19">
    <mergeCell ref="B1:E2"/>
    <mergeCell ref="B4:B5"/>
    <mergeCell ref="C4:E4"/>
    <mergeCell ref="F4:H4"/>
    <mergeCell ref="I4:K4"/>
    <mergeCell ref="L4:N4"/>
    <mergeCell ref="O4:O5"/>
    <mergeCell ref="C40:E40"/>
    <mergeCell ref="F40:H40"/>
    <mergeCell ref="I40:K40"/>
    <mergeCell ref="L40:N40"/>
    <mergeCell ref="B22:B23"/>
    <mergeCell ref="C22:E22"/>
    <mergeCell ref="F22:H22"/>
    <mergeCell ref="I22:K22"/>
    <mergeCell ref="L22:N22"/>
    <mergeCell ref="O22:O23"/>
    <mergeCell ref="B40:B41"/>
    <mergeCell ref="O40:O41"/>
  </mergeCells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66"/>
    <pageSetUpPr/>
  </sheetPr>
  <sheetViews>
    <sheetView workbookViewId="0"/>
  </sheetViews>
  <sheetFormatPr customHeight="1" defaultColWidth="11.22" defaultRowHeight="15.0"/>
  <cols>
    <col customWidth="1" min="1" max="1" width="1.33"/>
    <col customWidth="1" min="2" max="2" width="23.78"/>
    <col customWidth="1" min="3" max="14" width="11.33"/>
    <col customWidth="1" min="15" max="15" width="17.11"/>
    <col customWidth="1" min="16" max="26" width="9.33"/>
  </cols>
  <sheetData>
    <row r="1" ht="16.5" customHeight="1">
      <c r="A1" s="1"/>
      <c r="B1" s="2" t="s">
        <v>35</v>
      </c>
      <c r="E1" s="3"/>
      <c r="F1" s="3"/>
      <c r="G1" s="3"/>
      <c r="H1" s="3"/>
      <c r="I1" s="3"/>
      <c r="J1" s="3"/>
      <c r="K1" s="3"/>
      <c r="L1" s="3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E2" s="4"/>
      <c r="F2" s="4"/>
      <c r="G2" s="4"/>
      <c r="H2" s="4"/>
      <c r="I2" s="4"/>
      <c r="J2" s="4"/>
      <c r="K2" s="4"/>
      <c r="L2" s="4"/>
      <c r="M2" s="4"/>
      <c r="N2" s="5"/>
      <c r="O2" s="4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9">
        <v>2022.0</v>
      </c>
      <c r="C4" s="10" t="s">
        <v>2</v>
      </c>
      <c r="D4" s="11"/>
      <c r="E4" s="11"/>
      <c r="F4" s="12" t="s">
        <v>3</v>
      </c>
      <c r="G4" s="11"/>
      <c r="H4" s="11"/>
      <c r="I4" s="10" t="s">
        <v>4</v>
      </c>
      <c r="J4" s="11"/>
      <c r="K4" s="11"/>
      <c r="L4" s="12" t="s">
        <v>5</v>
      </c>
      <c r="M4" s="11"/>
      <c r="N4" s="11"/>
      <c r="O4" s="13" t="s">
        <v>36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4"/>
      <c r="C5" s="15" t="s">
        <v>7</v>
      </c>
      <c r="D5" s="16" t="s">
        <v>8</v>
      </c>
      <c r="E5" s="16" t="s">
        <v>9</v>
      </c>
      <c r="F5" s="17" t="s">
        <v>10</v>
      </c>
      <c r="G5" s="18" t="s">
        <v>11</v>
      </c>
      <c r="H5" s="18" t="s">
        <v>12</v>
      </c>
      <c r="I5" s="15" t="s">
        <v>13</v>
      </c>
      <c r="J5" s="16" t="s">
        <v>14</v>
      </c>
      <c r="K5" s="16" t="s">
        <v>15</v>
      </c>
      <c r="L5" s="17" t="s">
        <v>16</v>
      </c>
      <c r="M5" s="18" t="s">
        <v>17</v>
      </c>
      <c r="N5" s="18" t="s">
        <v>18</v>
      </c>
      <c r="O5" s="1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9"/>
      <c r="B6" s="20" t="s">
        <v>19</v>
      </c>
      <c r="C6" s="42">
        <f t="shared" ref="C6:N6" si="1">SUM(C7:C15)</f>
        <v>0</v>
      </c>
      <c r="D6" s="42">
        <f t="shared" si="1"/>
        <v>0</v>
      </c>
      <c r="E6" s="42">
        <f t="shared" si="1"/>
        <v>2100</v>
      </c>
      <c r="F6" s="43">
        <f t="shared" si="1"/>
        <v>2901.25</v>
      </c>
      <c r="G6" s="43">
        <f t="shared" si="1"/>
        <v>3640.3125</v>
      </c>
      <c r="H6" s="43">
        <f t="shared" si="1"/>
        <v>4564.140625</v>
      </c>
      <c r="I6" s="42">
        <f t="shared" si="1"/>
        <v>5718.925781</v>
      </c>
      <c r="J6" s="42">
        <f t="shared" si="1"/>
        <v>7162.407227</v>
      </c>
      <c r="K6" s="42">
        <f t="shared" si="1"/>
        <v>8966.759033</v>
      </c>
      <c r="L6" s="43">
        <f t="shared" si="1"/>
        <v>11222.19879</v>
      </c>
      <c r="M6" s="43">
        <f t="shared" si="1"/>
        <v>14041.49849</v>
      </c>
      <c r="N6" s="43">
        <f t="shared" si="1"/>
        <v>17565.62311</v>
      </c>
      <c r="O6" s="44">
        <f t="shared" ref="O6:O15" si="3">SUM(C6:N6)</f>
        <v>77883.11556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6.5" customHeight="1">
      <c r="A7" s="19"/>
      <c r="B7" s="26" t="s">
        <v>37</v>
      </c>
      <c r="C7" s="45">
        <v>0.0</v>
      </c>
      <c r="D7" s="45">
        <v>0.0</v>
      </c>
      <c r="E7" s="45">
        <v>1000.0</v>
      </c>
      <c r="F7" s="46">
        <f t="shared" ref="F7:N7" si="2">E7*1.25</f>
        <v>1250</v>
      </c>
      <c r="G7" s="46">
        <f t="shared" si="2"/>
        <v>1562.5</v>
      </c>
      <c r="H7" s="46">
        <f t="shared" si="2"/>
        <v>1953.125</v>
      </c>
      <c r="I7" s="45">
        <f t="shared" si="2"/>
        <v>2441.40625</v>
      </c>
      <c r="J7" s="45">
        <f t="shared" si="2"/>
        <v>3051.757813</v>
      </c>
      <c r="K7" s="45">
        <f t="shared" si="2"/>
        <v>3814.697266</v>
      </c>
      <c r="L7" s="46">
        <f t="shared" si="2"/>
        <v>4768.371582</v>
      </c>
      <c r="M7" s="46">
        <f t="shared" si="2"/>
        <v>5960.464478</v>
      </c>
      <c r="N7" s="46">
        <f t="shared" si="2"/>
        <v>7450.580597</v>
      </c>
      <c r="O7" s="44">
        <f t="shared" si="3"/>
        <v>33252.90298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6.5" customHeight="1">
      <c r="A8" s="19"/>
      <c r="B8" s="26"/>
      <c r="C8" s="45">
        <v>0.0</v>
      </c>
      <c r="D8" s="45">
        <v>0.0</v>
      </c>
      <c r="E8" s="45">
        <v>0.0</v>
      </c>
      <c r="F8" s="46">
        <v>0.0</v>
      </c>
      <c r="G8" s="46">
        <v>0.0</v>
      </c>
      <c r="H8" s="46">
        <v>0.0</v>
      </c>
      <c r="I8" s="45">
        <v>0.0</v>
      </c>
      <c r="J8" s="45">
        <v>0.0</v>
      </c>
      <c r="K8" s="45">
        <v>0.0</v>
      </c>
      <c r="L8" s="46">
        <v>0.0</v>
      </c>
      <c r="M8" s="46">
        <v>0.0</v>
      </c>
      <c r="N8" s="46">
        <v>0.0</v>
      </c>
      <c r="O8" s="44">
        <f t="shared" si="3"/>
        <v>0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6.5" customHeight="1">
      <c r="A9" s="19"/>
      <c r="B9" s="26" t="s">
        <v>22</v>
      </c>
      <c r="C9" s="45">
        <v>0.0</v>
      </c>
      <c r="D9" s="45">
        <v>0.0</v>
      </c>
      <c r="E9" s="45">
        <v>1000.0</v>
      </c>
      <c r="F9" s="46">
        <f t="shared" ref="F9:N9" si="4">E9*1.25</f>
        <v>1250</v>
      </c>
      <c r="G9" s="46">
        <f t="shared" si="4"/>
        <v>1562.5</v>
      </c>
      <c r="H9" s="46">
        <f t="shared" si="4"/>
        <v>1953.125</v>
      </c>
      <c r="I9" s="45">
        <f t="shared" si="4"/>
        <v>2441.40625</v>
      </c>
      <c r="J9" s="45">
        <f t="shared" si="4"/>
        <v>3051.757813</v>
      </c>
      <c r="K9" s="45">
        <f t="shared" si="4"/>
        <v>3814.697266</v>
      </c>
      <c r="L9" s="46">
        <f t="shared" si="4"/>
        <v>4768.371582</v>
      </c>
      <c r="M9" s="46">
        <f t="shared" si="4"/>
        <v>5960.464478</v>
      </c>
      <c r="N9" s="46">
        <f t="shared" si="4"/>
        <v>7450.580597</v>
      </c>
      <c r="O9" s="44">
        <f t="shared" si="3"/>
        <v>33252.90298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6.5" customHeight="1">
      <c r="A10" s="19"/>
      <c r="B10" s="26" t="s">
        <v>23</v>
      </c>
      <c r="C10" s="45">
        <v>0.0</v>
      </c>
      <c r="D10" s="45">
        <v>0.0</v>
      </c>
      <c r="E10" s="45">
        <v>0.0</v>
      </c>
      <c r="F10" s="46"/>
      <c r="G10" s="46"/>
      <c r="H10" s="46"/>
      <c r="I10" s="45"/>
      <c r="J10" s="45"/>
      <c r="K10" s="45"/>
      <c r="L10" s="46"/>
      <c r="M10" s="46"/>
      <c r="N10" s="46"/>
      <c r="O10" s="44">
        <f t="shared" si="3"/>
        <v>0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6.5" customHeight="1">
      <c r="A11" s="19"/>
      <c r="B11" s="26" t="s">
        <v>24</v>
      </c>
      <c r="C11" s="45">
        <v>0.0</v>
      </c>
      <c r="D11" s="45">
        <v>0.0</v>
      </c>
      <c r="E11" s="45">
        <v>0.0</v>
      </c>
      <c r="F11" s="46"/>
      <c r="G11" s="46"/>
      <c r="H11" s="46"/>
      <c r="I11" s="45"/>
      <c r="J11" s="45"/>
      <c r="K11" s="45"/>
      <c r="L11" s="46"/>
      <c r="M11" s="46"/>
      <c r="N11" s="46"/>
      <c r="O11" s="44">
        <f t="shared" si="3"/>
        <v>0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6.5" customHeight="1">
      <c r="A12" s="19"/>
      <c r="B12" s="26" t="s">
        <v>25</v>
      </c>
      <c r="C12" s="45">
        <v>0.0</v>
      </c>
      <c r="D12" s="45">
        <v>0.0</v>
      </c>
      <c r="E12" s="45">
        <v>0.0</v>
      </c>
      <c r="F12" s="46"/>
      <c r="G12" s="46"/>
      <c r="H12" s="46"/>
      <c r="I12" s="45"/>
      <c r="J12" s="45"/>
      <c r="K12" s="45"/>
      <c r="L12" s="46"/>
      <c r="M12" s="46"/>
      <c r="N12" s="46"/>
      <c r="O12" s="44">
        <f t="shared" si="3"/>
        <v>0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6.5" customHeight="1">
      <c r="A13" s="19"/>
      <c r="B13" s="26" t="s">
        <v>26</v>
      </c>
      <c r="C13" s="45">
        <v>0.0</v>
      </c>
      <c r="D13" s="45">
        <v>0.0</v>
      </c>
      <c r="E13" s="47">
        <v>100.0</v>
      </c>
      <c r="F13" s="46">
        <f t="shared" ref="F13:N13" si="5">E13*1.25</f>
        <v>125</v>
      </c>
      <c r="G13" s="46">
        <f t="shared" si="5"/>
        <v>156.25</v>
      </c>
      <c r="H13" s="46">
        <f t="shared" si="5"/>
        <v>195.3125</v>
      </c>
      <c r="I13" s="45">
        <f t="shared" si="5"/>
        <v>244.140625</v>
      </c>
      <c r="J13" s="45">
        <f t="shared" si="5"/>
        <v>305.1757813</v>
      </c>
      <c r="K13" s="45">
        <f t="shared" si="5"/>
        <v>381.4697266</v>
      </c>
      <c r="L13" s="46">
        <f t="shared" si="5"/>
        <v>476.8371582</v>
      </c>
      <c r="M13" s="46">
        <f t="shared" si="5"/>
        <v>596.0464478</v>
      </c>
      <c r="N13" s="46">
        <f t="shared" si="5"/>
        <v>745.0580597</v>
      </c>
      <c r="O13" s="44">
        <f t="shared" si="3"/>
        <v>3325.290298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6.5" customHeight="1">
      <c r="A14" s="19"/>
      <c r="B14" s="26" t="s">
        <v>27</v>
      </c>
      <c r="C14" s="45">
        <v>0.0</v>
      </c>
      <c r="D14" s="45">
        <v>0.0</v>
      </c>
      <c r="E14" s="45">
        <v>0.0</v>
      </c>
      <c r="F14" s="46">
        <f t="shared" ref="F14:N14" si="6">E14+(F9*0.01)</f>
        <v>12.5</v>
      </c>
      <c r="G14" s="46">
        <f t="shared" si="6"/>
        <v>28.125</v>
      </c>
      <c r="H14" s="46">
        <f t="shared" si="6"/>
        <v>47.65625</v>
      </c>
      <c r="I14" s="46">
        <f t="shared" si="6"/>
        <v>72.0703125</v>
      </c>
      <c r="J14" s="46">
        <f t="shared" si="6"/>
        <v>102.5878906</v>
      </c>
      <c r="K14" s="46">
        <f t="shared" si="6"/>
        <v>140.7348633</v>
      </c>
      <c r="L14" s="46">
        <f t="shared" si="6"/>
        <v>188.4185791</v>
      </c>
      <c r="M14" s="46">
        <f t="shared" si="6"/>
        <v>248.0232239</v>
      </c>
      <c r="N14" s="46">
        <f t="shared" si="6"/>
        <v>322.5290298</v>
      </c>
      <c r="O14" s="44">
        <f t="shared" si="3"/>
        <v>1162.645149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6.5" customHeight="1">
      <c r="A15" s="19"/>
      <c r="B15" s="29" t="s">
        <v>28</v>
      </c>
      <c r="C15" s="45">
        <v>0.0</v>
      </c>
      <c r="D15" s="45">
        <v>0.0</v>
      </c>
      <c r="E15" s="45">
        <v>0.0</v>
      </c>
      <c r="F15" s="46">
        <f t="shared" ref="F15:N15" si="7">SUM(F7:F14)*0.1</f>
        <v>263.75</v>
      </c>
      <c r="G15" s="46">
        <f t="shared" si="7"/>
        <v>330.9375</v>
      </c>
      <c r="H15" s="46">
        <f t="shared" si="7"/>
        <v>414.921875</v>
      </c>
      <c r="I15" s="45">
        <f t="shared" si="7"/>
        <v>519.9023438</v>
      </c>
      <c r="J15" s="45">
        <f t="shared" si="7"/>
        <v>651.1279297</v>
      </c>
      <c r="K15" s="45">
        <f t="shared" si="7"/>
        <v>815.1599121</v>
      </c>
      <c r="L15" s="46">
        <f t="shared" si="7"/>
        <v>1020.19989</v>
      </c>
      <c r="M15" s="46">
        <f t="shared" si="7"/>
        <v>1276.499863</v>
      </c>
      <c r="N15" s="46">
        <f t="shared" si="7"/>
        <v>1596.874828</v>
      </c>
      <c r="O15" s="44">
        <f t="shared" si="3"/>
        <v>6889.374142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6.5" customHeight="1">
      <c r="A16" s="19"/>
      <c r="B16" s="17" t="s">
        <v>32</v>
      </c>
      <c r="C16" s="48">
        <f t="shared" ref="C16:O16" si="8">SUM(C7:C15)</f>
        <v>0</v>
      </c>
      <c r="D16" s="48">
        <f t="shared" si="8"/>
        <v>0</v>
      </c>
      <c r="E16" s="48">
        <f t="shared" si="8"/>
        <v>2100</v>
      </c>
      <c r="F16" s="48">
        <f t="shared" si="8"/>
        <v>2901.25</v>
      </c>
      <c r="G16" s="48">
        <f t="shared" si="8"/>
        <v>3640.3125</v>
      </c>
      <c r="H16" s="48">
        <f t="shared" si="8"/>
        <v>4564.140625</v>
      </c>
      <c r="I16" s="48">
        <f t="shared" si="8"/>
        <v>5718.925781</v>
      </c>
      <c r="J16" s="48">
        <f t="shared" si="8"/>
        <v>7162.407227</v>
      </c>
      <c r="K16" s="48">
        <f t="shared" si="8"/>
        <v>8966.759033</v>
      </c>
      <c r="L16" s="48">
        <f t="shared" si="8"/>
        <v>11222.19879</v>
      </c>
      <c r="M16" s="48">
        <f t="shared" si="8"/>
        <v>14041.49849</v>
      </c>
      <c r="N16" s="48">
        <f t="shared" si="8"/>
        <v>17565.62311</v>
      </c>
      <c r="O16" s="49">
        <f t="shared" si="8"/>
        <v>77883.11556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6.5" customHeight="1">
      <c r="A17" s="19"/>
      <c r="B17" s="3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6.5" customHeight="1">
      <c r="A18" s="19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6.5" customHeight="1">
      <c r="A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6.5" customHeight="1">
      <c r="A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6.5" customHeight="1">
      <c r="A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6.5" customHeight="1">
      <c r="A22" s="19"/>
      <c r="B22" s="9">
        <v>2023.0</v>
      </c>
      <c r="C22" s="10" t="s">
        <v>2</v>
      </c>
      <c r="D22" s="11"/>
      <c r="E22" s="11"/>
      <c r="F22" s="36" t="s">
        <v>3</v>
      </c>
      <c r="G22" s="11"/>
      <c r="H22" s="11"/>
      <c r="I22" s="37" t="s">
        <v>4</v>
      </c>
      <c r="J22" s="11"/>
      <c r="K22" s="11"/>
      <c r="L22" s="36" t="s">
        <v>5</v>
      </c>
      <c r="M22" s="11"/>
      <c r="N22" s="11"/>
      <c r="O22" s="38" t="s">
        <v>36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6.5" customHeight="1">
      <c r="A23" s="19"/>
      <c r="B23" s="14"/>
      <c r="C23" s="15" t="s">
        <v>7</v>
      </c>
      <c r="D23" s="16" t="s">
        <v>8</v>
      </c>
      <c r="E23" s="16" t="s">
        <v>9</v>
      </c>
      <c r="F23" s="17" t="s">
        <v>10</v>
      </c>
      <c r="G23" s="18" t="s">
        <v>11</v>
      </c>
      <c r="H23" s="18" t="s">
        <v>12</v>
      </c>
      <c r="I23" s="15" t="s">
        <v>13</v>
      </c>
      <c r="J23" s="16" t="s">
        <v>14</v>
      </c>
      <c r="K23" s="16" t="s">
        <v>15</v>
      </c>
      <c r="L23" s="17" t="s">
        <v>16</v>
      </c>
      <c r="M23" s="18" t="s">
        <v>17</v>
      </c>
      <c r="N23" s="18" t="s">
        <v>18</v>
      </c>
      <c r="O23" s="3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6.5" customHeight="1">
      <c r="A24" s="19"/>
      <c r="B24" s="20" t="s">
        <v>19</v>
      </c>
      <c r="C24" s="42">
        <f t="shared" ref="C24:N24" si="9">SUM(C25:C33)</f>
        <v>31056.70723</v>
      </c>
      <c r="D24" s="42">
        <f t="shared" si="9"/>
        <v>32207.94337</v>
      </c>
      <c r="E24" s="42">
        <f t="shared" si="9"/>
        <v>37033.34674</v>
      </c>
      <c r="F24" s="43">
        <f t="shared" si="9"/>
        <v>38612.83406</v>
      </c>
      <c r="G24" s="43">
        <f t="shared" si="9"/>
        <v>40257.31373</v>
      </c>
      <c r="H24" s="43">
        <f t="shared" si="9"/>
        <v>45608.78498</v>
      </c>
      <c r="I24" s="42">
        <f t="shared" si="9"/>
        <v>47750.44696</v>
      </c>
      <c r="J24" s="42">
        <f t="shared" si="9"/>
        <v>49996.81876</v>
      </c>
      <c r="K24" s="42">
        <f t="shared" si="9"/>
        <v>55993.87135</v>
      </c>
      <c r="L24" s="43">
        <f t="shared" si="9"/>
        <v>58829.17281</v>
      </c>
      <c r="M24" s="43">
        <f t="shared" si="9"/>
        <v>61822.04804</v>
      </c>
      <c r="N24" s="43">
        <f t="shared" si="9"/>
        <v>68623.7544</v>
      </c>
      <c r="O24" s="50">
        <f t="shared" ref="O24:O33" si="11">SUM(C24:N24)</f>
        <v>567793.0424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6.5" customHeight="1">
      <c r="A25" s="19"/>
      <c r="B25" s="26" t="s">
        <v>37</v>
      </c>
      <c r="C25" s="45">
        <f>N7*1.1</f>
        <v>8195.638657</v>
      </c>
      <c r="D25" s="45">
        <f t="shared" ref="D25:N25" si="10">C25*1.1</f>
        <v>9015.202522</v>
      </c>
      <c r="E25" s="45">
        <f t="shared" si="10"/>
        <v>9916.722775</v>
      </c>
      <c r="F25" s="46">
        <f t="shared" si="10"/>
        <v>10908.39505</v>
      </c>
      <c r="G25" s="46">
        <f t="shared" si="10"/>
        <v>11999.23456</v>
      </c>
      <c r="H25" s="46">
        <f t="shared" si="10"/>
        <v>13199.15801</v>
      </c>
      <c r="I25" s="45">
        <f t="shared" si="10"/>
        <v>14519.07381</v>
      </c>
      <c r="J25" s="45">
        <f t="shared" si="10"/>
        <v>15970.9812</v>
      </c>
      <c r="K25" s="45">
        <f t="shared" si="10"/>
        <v>17568.07932</v>
      </c>
      <c r="L25" s="46">
        <f t="shared" si="10"/>
        <v>19324.88725</v>
      </c>
      <c r="M25" s="46">
        <f t="shared" si="10"/>
        <v>21257.37597</v>
      </c>
      <c r="N25" s="46">
        <f t="shared" si="10"/>
        <v>23383.11357</v>
      </c>
      <c r="O25" s="44">
        <f t="shared" si="11"/>
        <v>175257.8627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6.5" customHeight="1">
      <c r="A26" s="19"/>
      <c r="B26" s="26"/>
      <c r="C26" s="45"/>
      <c r="D26" s="45"/>
      <c r="E26" s="45"/>
      <c r="F26" s="46"/>
      <c r="G26" s="46"/>
      <c r="H26" s="46"/>
      <c r="I26" s="45"/>
      <c r="J26" s="45"/>
      <c r="K26" s="45"/>
      <c r="L26" s="46"/>
      <c r="M26" s="46"/>
      <c r="N26" s="46"/>
      <c r="O26" s="44">
        <f t="shared" si="11"/>
        <v>0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6.5" customHeight="1">
      <c r="A27" s="19"/>
      <c r="B27" s="26" t="s">
        <v>22</v>
      </c>
      <c r="C27" s="45">
        <f>N9-500</f>
        <v>6950.580597</v>
      </c>
      <c r="D27" s="45">
        <f>C27-500</f>
        <v>6450.580597</v>
      </c>
      <c r="E27" s="45">
        <f>D27-500+3000</f>
        <v>8950.580597</v>
      </c>
      <c r="F27" s="46">
        <f t="shared" ref="F27:G27" si="12">E27-500</f>
        <v>8450.580597</v>
      </c>
      <c r="G27" s="46">
        <f t="shared" si="12"/>
        <v>7950.580597</v>
      </c>
      <c r="H27" s="46">
        <f>G27-500+3000</f>
        <v>10450.5806</v>
      </c>
      <c r="I27" s="45">
        <f t="shared" ref="I27:J27" si="13">H27-500</f>
        <v>9950.580597</v>
      </c>
      <c r="J27" s="45">
        <f t="shared" si="13"/>
        <v>9450.580597</v>
      </c>
      <c r="K27" s="45">
        <f>J27-500+3000</f>
        <v>11950.5806</v>
      </c>
      <c r="L27" s="46">
        <f t="shared" ref="L27:M27" si="14">K27-500</f>
        <v>11450.5806</v>
      </c>
      <c r="M27" s="46">
        <f t="shared" si="14"/>
        <v>10950.5806</v>
      </c>
      <c r="N27" s="46">
        <f>M27-500+3000</f>
        <v>13450.5806</v>
      </c>
      <c r="O27" s="44">
        <f t="shared" si="11"/>
        <v>116406.9672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6.5" customHeight="1">
      <c r="A28" s="19"/>
      <c r="B28" s="26" t="s">
        <v>23</v>
      </c>
      <c r="C28" s="45">
        <f>'Kanäle'!$E$20+'Kanäle'!$F$20</f>
        <v>4500</v>
      </c>
      <c r="D28" s="45">
        <f>'Kanäle'!$E$20+'Kanäle'!$F$20</f>
        <v>4500</v>
      </c>
      <c r="E28" s="45">
        <f>'Kanäle'!$E$20+'Kanäle'!$F$20</f>
        <v>4500</v>
      </c>
      <c r="F28" s="46">
        <f>'Kanäle'!$E$20+'Kanäle'!$F$20</f>
        <v>4500</v>
      </c>
      <c r="G28" s="46">
        <f>'Kanäle'!$E$20+'Kanäle'!$F$20</f>
        <v>4500</v>
      </c>
      <c r="H28" s="46">
        <f>'Kanäle'!$E$20+'Kanäle'!$F$20</f>
        <v>4500</v>
      </c>
      <c r="I28" s="45">
        <f>'Kanäle'!$E$20+'Kanäle'!$F$20</f>
        <v>4500</v>
      </c>
      <c r="J28" s="45">
        <f>'Kanäle'!$E$20+'Kanäle'!$F$20</f>
        <v>4500</v>
      </c>
      <c r="K28" s="45">
        <f>'Kanäle'!$E$20+'Kanäle'!$F$20</f>
        <v>4500</v>
      </c>
      <c r="L28" s="46">
        <f>'Kanäle'!$E$20+'Kanäle'!$F$20</f>
        <v>4500</v>
      </c>
      <c r="M28" s="46">
        <f>'Kanäle'!$E$20+'Kanäle'!$F$20</f>
        <v>4500</v>
      </c>
      <c r="N28" s="46">
        <f>'Kanäle'!$E$20+'Kanäle'!$F$20</f>
        <v>4500</v>
      </c>
      <c r="O28" s="44">
        <f t="shared" si="11"/>
        <v>54000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6.5" customHeight="1">
      <c r="A29" s="1"/>
      <c r="B29" s="26" t="s">
        <v>24</v>
      </c>
      <c r="C29" s="45">
        <f>'Kanäle'!$C$25+'Kanäle'!$D$25</f>
        <v>4500</v>
      </c>
      <c r="D29" s="45">
        <f>'Kanäle'!$C$25+'Kanäle'!$D$25</f>
        <v>4500</v>
      </c>
      <c r="E29" s="45">
        <f>'Kanäle'!$C$25+'Kanäle'!$D$25</f>
        <v>4500</v>
      </c>
      <c r="F29" s="46">
        <f>'Kanäle'!$C$25+'Kanäle'!$D$25</f>
        <v>4500</v>
      </c>
      <c r="G29" s="46">
        <f>'Kanäle'!$C$25+'Kanäle'!$D$25</f>
        <v>4500</v>
      </c>
      <c r="H29" s="46">
        <f>'Kanäle'!$C$25+'Kanäle'!$D$25</f>
        <v>4500</v>
      </c>
      <c r="I29" s="45">
        <f>'Kanäle'!$C$25+'Kanäle'!$D$25</f>
        <v>4500</v>
      </c>
      <c r="J29" s="45">
        <f>'Kanäle'!$C$25+'Kanäle'!$D$25</f>
        <v>4500</v>
      </c>
      <c r="K29" s="45">
        <f>'Kanäle'!$C$25+'Kanäle'!$D$25</f>
        <v>4500</v>
      </c>
      <c r="L29" s="46">
        <f>'Kanäle'!$C$25+'Kanäle'!$D$25</f>
        <v>4500</v>
      </c>
      <c r="M29" s="46">
        <f>'Kanäle'!$C$25+'Kanäle'!$D$25</f>
        <v>4500</v>
      </c>
      <c r="N29" s="46">
        <f>'Kanäle'!$C$25+'Kanäle'!$D$25</f>
        <v>4500</v>
      </c>
      <c r="O29" s="44">
        <f t="shared" si="11"/>
        <v>54000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26" t="s">
        <v>25</v>
      </c>
      <c r="C30" s="45">
        <f>'Kanäle'!$B$30</f>
        <v>2250</v>
      </c>
      <c r="D30" s="45">
        <f>'Kanäle'!$B$30</f>
        <v>2250</v>
      </c>
      <c r="E30" s="45">
        <f>'Kanäle'!$B$30</f>
        <v>2250</v>
      </c>
      <c r="F30" s="46">
        <f>'Kanäle'!$B$30</f>
        <v>2250</v>
      </c>
      <c r="G30" s="46">
        <f>'Kanäle'!$B$30</f>
        <v>2250</v>
      </c>
      <c r="H30" s="46">
        <f>'Kanäle'!$B$30</f>
        <v>2250</v>
      </c>
      <c r="I30" s="45">
        <f>'Kanäle'!$B$30</f>
        <v>2250</v>
      </c>
      <c r="J30" s="45">
        <f>'Kanäle'!$B$30</f>
        <v>2250</v>
      </c>
      <c r="K30" s="45">
        <f>'Kanäle'!$B$30</f>
        <v>2250</v>
      </c>
      <c r="L30" s="46">
        <f>'Kanäle'!$B$30</f>
        <v>2250</v>
      </c>
      <c r="M30" s="46">
        <f>'Kanäle'!$B$30</f>
        <v>2250</v>
      </c>
      <c r="N30" s="46">
        <f>'Kanäle'!$B$30</f>
        <v>2250</v>
      </c>
      <c r="O30" s="44">
        <f t="shared" si="11"/>
        <v>27000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26" t="s">
        <v>26</v>
      </c>
      <c r="C31" s="45">
        <f>N13*1.1</f>
        <v>819.5638657</v>
      </c>
      <c r="D31" s="45">
        <f t="shared" ref="D31:N31" si="15">C31*1.1</f>
        <v>901.5202522</v>
      </c>
      <c r="E31" s="45">
        <f t="shared" si="15"/>
        <v>991.6722775</v>
      </c>
      <c r="F31" s="45">
        <f t="shared" si="15"/>
        <v>1090.839505</v>
      </c>
      <c r="G31" s="45">
        <f t="shared" si="15"/>
        <v>1199.923456</v>
      </c>
      <c r="H31" s="45">
        <f t="shared" si="15"/>
        <v>1319.915801</v>
      </c>
      <c r="I31" s="45">
        <f t="shared" si="15"/>
        <v>1451.907381</v>
      </c>
      <c r="J31" s="45">
        <f t="shared" si="15"/>
        <v>1597.09812</v>
      </c>
      <c r="K31" s="45">
        <f t="shared" si="15"/>
        <v>1756.807932</v>
      </c>
      <c r="L31" s="45">
        <f t="shared" si="15"/>
        <v>1932.488725</v>
      </c>
      <c r="M31" s="45">
        <f t="shared" si="15"/>
        <v>2125.737597</v>
      </c>
      <c r="N31" s="45">
        <f t="shared" si="15"/>
        <v>2338.311357</v>
      </c>
      <c r="O31" s="44">
        <f t="shared" si="11"/>
        <v>17525.78627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26" t="s">
        <v>27</v>
      </c>
      <c r="C32" s="45">
        <f>N14+(C27*0.1)</f>
        <v>1017.58709</v>
      </c>
      <c r="D32" s="45">
        <f t="shared" ref="D32:N32" si="16">C32+(D27*0.1)</f>
        <v>1662.645149</v>
      </c>
      <c r="E32" s="45">
        <f t="shared" si="16"/>
        <v>2557.703209</v>
      </c>
      <c r="F32" s="46">
        <f t="shared" si="16"/>
        <v>3402.761269</v>
      </c>
      <c r="G32" s="46">
        <f t="shared" si="16"/>
        <v>4197.819328</v>
      </c>
      <c r="H32" s="46">
        <f t="shared" si="16"/>
        <v>5242.877388</v>
      </c>
      <c r="I32" s="45">
        <f t="shared" si="16"/>
        <v>6237.935448</v>
      </c>
      <c r="J32" s="45">
        <f t="shared" si="16"/>
        <v>7182.993507</v>
      </c>
      <c r="K32" s="45">
        <f t="shared" si="16"/>
        <v>8378.051567</v>
      </c>
      <c r="L32" s="46">
        <f t="shared" si="16"/>
        <v>9523.109627</v>
      </c>
      <c r="M32" s="46">
        <f t="shared" si="16"/>
        <v>10618.16769</v>
      </c>
      <c r="N32" s="46">
        <f t="shared" si="16"/>
        <v>11963.22575</v>
      </c>
      <c r="O32" s="44">
        <f t="shared" si="11"/>
        <v>71984.87701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29" t="s">
        <v>28</v>
      </c>
      <c r="C33" s="45">
        <f t="shared" ref="C33:N33" si="17">SUM(C25:C32)*0.1</f>
        <v>2823.337021</v>
      </c>
      <c r="D33" s="45">
        <f t="shared" si="17"/>
        <v>2927.994852</v>
      </c>
      <c r="E33" s="45">
        <f t="shared" si="17"/>
        <v>3366.667886</v>
      </c>
      <c r="F33" s="46">
        <f t="shared" si="17"/>
        <v>3510.257642</v>
      </c>
      <c r="G33" s="46">
        <f t="shared" si="17"/>
        <v>3659.755794</v>
      </c>
      <c r="H33" s="46">
        <f t="shared" si="17"/>
        <v>4146.25318</v>
      </c>
      <c r="I33" s="45">
        <f t="shared" si="17"/>
        <v>4340.949724</v>
      </c>
      <c r="J33" s="45">
        <f t="shared" si="17"/>
        <v>4545.165342</v>
      </c>
      <c r="K33" s="45">
        <f t="shared" si="17"/>
        <v>5090.351941</v>
      </c>
      <c r="L33" s="46">
        <f t="shared" si="17"/>
        <v>5348.106619</v>
      </c>
      <c r="M33" s="46">
        <f t="shared" si="17"/>
        <v>5620.186185</v>
      </c>
      <c r="N33" s="46">
        <f t="shared" si="17"/>
        <v>6238.523127</v>
      </c>
      <c r="O33" s="44">
        <f t="shared" si="11"/>
        <v>51617.54931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7" t="s">
        <v>32</v>
      </c>
      <c r="C34" s="48">
        <f t="shared" ref="C34:O34" si="18">SUM(C25:C33)</f>
        <v>31056.70723</v>
      </c>
      <c r="D34" s="48">
        <f t="shared" si="18"/>
        <v>32207.94337</v>
      </c>
      <c r="E34" s="48">
        <f t="shared" si="18"/>
        <v>37033.34674</v>
      </c>
      <c r="F34" s="48">
        <f t="shared" si="18"/>
        <v>38612.83406</v>
      </c>
      <c r="G34" s="48">
        <f t="shared" si="18"/>
        <v>40257.31373</v>
      </c>
      <c r="H34" s="48">
        <f t="shared" si="18"/>
        <v>45608.78498</v>
      </c>
      <c r="I34" s="48">
        <f t="shared" si="18"/>
        <v>47750.44696</v>
      </c>
      <c r="J34" s="48">
        <f t="shared" si="18"/>
        <v>49996.81876</v>
      </c>
      <c r="K34" s="48">
        <f t="shared" si="18"/>
        <v>55993.87135</v>
      </c>
      <c r="L34" s="48">
        <f t="shared" si="18"/>
        <v>58829.17281</v>
      </c>
      <c r="M34" s="48">
        <f t="shared" si="18"/>
        <v>61822.04804</v>
      </c>
      <c r="N34" s="48">
        <f t="shared" si="18"/>
        <v>68623.7544</v>
      </c>
      <c r="O34" s="49">
        <f t="shared" si="18"/>
        <v>567793.0424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3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3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9">
        <v>2024.0</v>
      </c>
      <c r="C40" s="10" t="s">
        <v>2</v>
      </c>
      <c r="D40" s="11"/>
      <c r="E40" s="11"/>
      <c r="F40" s="36" t="s">
        <v>3</v>
      </c>
      <c r="G40" s="11"/>
      <c r="H40" s="11"/>
      <c r="I40" s="37" t="s">
        <v>4</v>
      </c>
      <c r="J40" s="11"/>
      <c r="K40" s="11"/>
      <c r="L40" s="36" t="s">
        <v>5</v>
      </c>
      <c r="M40" s="11"/>
      <c r="N40" s="11"/>
      <c r="O40" s="38" t="s">
        <v>36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4"/>
      <c r="C41" s="15" t="s">
        <v>7</v>
      </c>
      <c r="D41" s="16" t="s">
        <v>8</v>
      </c>
      <c r="E41" s="16" t="s">
        <v>9</v>
      </c>
      <c r="F41" s="17" t="s">
        <v>10</v>
      </c>
      <c r="G41" s="18" t="s">
        <v>11</v>
      </c>
      <c r="H41" s="18" t="s">
        <v>12</v>
      </c>
      <c r="I41" s="15" t="s">
        <v>13</v>
      </c>
      <c r="J41" s="16" t="s">
        <v>14</v>
      </c>
      <c r="K41" s="16" t="s">
        <v>15</v>
      </c>
      <c r="L41" s="17" t="s">
        <v>16</v>
      </c>
      <c r="M41" s="18" t="s">
        <v>17</v>
      </c>
      <c r="N41" s="18" t="s">
        <v>18</v>
      </c>
      <c r="O41" s="39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20" t="s">
        <v>19</v>
      </c>
      <c r="C42" s="42">
        <f t="shared" ref="C42:N42" si="19">SUM(C43:C51)</f>
        <v>72798.31826</v>
      </c>
      <c r="D42" s="42">
        <f t="shared" si="19"/>
        <v>76447.23887</v>
      </c>
      <c r="E42" s="42">
        <f t="shared" si="19"/>
        <v>83954.09515</v>
      </c>
      <c r="F42" s="43">
        <f t="shared" si="19"/>
        <v>88417.18067</v>
      </c>
      <c r="G42" s="43">
        <f t="shared" si="19"/>
        <v>93167.61836</v>
      </c>
      <c r="H42" s="43">
        <f t="shared" si="19"/>
        <v>101869.6434</v>
      </c>
      <c r="I42" s="42">
        <f t="shared" si="19"/>
        <v>107630.9146</v>
      </c>
      <c r="J42" s="42">
        <f t="shared" si="19"/>
        <v>113792.8565</v>
      </c>
      <c r="K42" s="42">
        <f t="shared" si="19"/>
        <v>124031.0363</v>
      </c>
      <c r="L42" s="43">
        <f t="shared" si="19"/>
        <v>131465.5776</v>
      </c>
      <c r="M42" s="43">
        <f t="shared" si="19"/>
        <v>139451.6167</v>
      </c>
      <c r="N42" s="43">
        <f t="shared" si="19"/>
        <v>151679.8032</v>
      </c>
      <c r="O42" s="50">
        <f t="shared" ref="O42:O51" si="21">SUM(C42:N42)</f>
        <v>1284705.9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26" t="s">
        <v>37</v>
      </c>
      <c r="C43" s="45">
        <f>N25*1.1</f>
        <v>25721.42493</v>
      </c>
      <c r="D43" s="45">
        <f t="shared" ref="D43:N43" si="20">C43*1.1</f>
        <v>28293.56742</v>
      </c>
      <c r="E43" s="45">
        <f t="shared" si="20"/>
        <v>31122.92416</v>
      </c>
      <c r="F43" s="46">
        <f t="shared" si="20"/>
        <v>34235.21658</v>
      </c>
      <c r="G43" s="46">
        <f t="shared" si="20"/>
        <v>37658.73823</v>
      </c>
      <c r="H43" s="46">
        <f t="shared" si="20"/>
        <v>41424.61206</v>
      </c>
      <c r="I43" s="45">
        <f t="shared" si="20"/>
        <v>45567.07326</v>
      </c>
      <c r="J43" s="45">
        <f t="shared" si="20"/>
        <v>50123.78059</v>
      </c>
      <c r="K43" s="45">
        <f t="shared" si="20"/>
        <v>55136.15865</v>
      </c>
      <c r="L43" s="46">
        <f t="shared" si="20"/>
        <v>60649.77451</v>
      </c>
      <c r="M43" s="46">
        <f t="shared" si="20"/>
        <v>66714.75196</v>
      </c>
      <c r="N43" s="46">
        <f t="shared" si="20"/>
        <v>73386.22716</v>
      </c>
      <c r="O43" s="44">
        <f t="shared" si="21"/>
        <v>550034.2495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26"/>
      <c r="C44" s="45"/>
      <c r="D44" s="45"/>
      <c r="E44" s="45"/>
      <c r="F44" s="46"/>
      <c r="G44" s="46"/>
      <c r="H44" s="46"/>
      <c r="I44" s="45"/>
      <c r="J44" s="45"/>
      <c r="K44" s="45"/>
      <c r="L44" s="46"/>
      <c r="M44" s="46"/>
      <c r="N44" s="46"/>
      <c r="O44" s="44">
        <f t="shared" si="21"/>
        <v>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26" t="s">
        <v>22</v>
      </c>
      <c r="C45" s="45">
        <f>N27-500</f>
        <v>12950.5806</v>
      </c>
      <c r="D45" s="45">
        <f>C45-500</f>
        <v>12450.5806</v>
      </c>
      <c r="E45" s="45">
        <f>D45-500+3000</f>
        <v>14950.5806</v>
      </c>
      <c r="F45" s="46">
        <f t="shared" ref="F45:G45" si="22">E45-500</f>
        <v>14450.5806</v>
      </c>
      <c r="G45" s="46">
        <f t="shared" si="22"/>
        <v>13950.5806</v>
      </c>
      <c r="H45" s="46">
        <f>G45-500+3000</f>
        <v>16450.5806</v>
      </c>
      <c r="I45" s="45">
        <f t="shared" ref="I45:J45" si="23">H45-500</f>
        <v>15950.5806</v>
      </c>
      <c r="J45" s="45">
        <f t="shared" si="23"/>
        <v>15450.5806</v>
      </c>
      <c r="K45" s="45">
        <f>J45-500+3000</f>
        <v>17950.5806</v>
      </c>
      <c r="L45" s="46">
        <f t="shared" ref="L45:M45" si="24">K45-500</f>
        <v>17450.5806</v>
      </c>
      <c r="M45" s="46">
        <f t="shared" si="24"/>
        <v>16950.5806</v>
      </c>
      <c r="N45" s="46">
        <f>M45-500+3000</f>
        <v>19450.5806</v>
      </c>
      <c r="O45" s="44">
        <f t="shared" si="21"/>
        <v>188406.9672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26" t="s">
        <v>23</v>
      </c>
      <c r="C46" s="45">
        <f>'Kanäle'!$E$20+'Kanäle'!$F$20</f>
        <v>4500</v>
      </c>
      <c r="D46" s="45">
        <f>'Kanäle'!$E$20+'Kanäle'!$F$20</f>
        <v>4500</v>
      </c>
      <c r="E46" s="45">
        <f>'Kanäle'!$E$20+'Kanäle'!$F$20</f>
        <v>4500</v>
      </c>
      <c r="F46" s="46">
        <f>'Kanäle'!$E$20+'Kanäle'!$F$20</f>
        <v>4500</v>
      </c>
      <c r="G46" s="46">
        <f>'Kanäle'!$E$20+'Kanäle'!$F$20</f>
        <v>4500</v>
      </c>
      <c r="H46" s="46">
        <f>'Kanäle'!$E$20+'Kanäle'!$F$20</f>
        <v>4500</v>
      </c>
      <c r="I46" s="45">
        <f>'Kanäle'!$E$20+'Kanäle'!$F$20</f>
        <v>4500</v>
      </c>
      <c r="J46" s="45">
        <f>'Kanäle'!$E$20+'Kanäle'!$F$20</f>
        <v>4500</v>
      </c>
      <c r="K46" s="45">
        <f>'Kanäle'!$E$20+'Kanäle'!$F$20</f>
        <v>4500</v>
      </c>
      <c r="L46" s="46">
        <f>'Kanäle'!$E$20+'Kanäle'!$F$20</f>
        <v>4500</v>
      </c>
      <c r="M46" s="46">
        <f>'Kanäle'!$E$20+'Kanäle'!$F$20</f>
        <v>4500</v>
      </c>
      <c r="N46" s="46">
        <f>'Kanäle'!$E$20+'Kanäle'!$F$20</f>
        <v>4500</v>
      </c>
      <c r="O46" s="44">
        <f t="shared" si="21"/>
        <v>54000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26" t="s">
        <v>24</v>
      </c>
      <c r="C47" s="45">
        <f>'Kanäle'!$C$25+'Kanäle'!$D$25</f>
        <v>4500</v>
      </c>
      <c r="D47" s="45">
        <f>'Kanäle'!$C$25+'Kanäle'!$D$25</f>
        <v>4500</v>
      </c>
      <c r="E47" s="45">
        <f>'Kanäle'!$C$25+'Kanäle'!$D$25</f>
        <v>4500</v>
      </c>
      <c r="F47" s="46">
        <f>'Kanäle'!$C$25+'Kanäle'!$D$25</f>
        <v>4500</v>
      </c>
      <c r="G47" s="46">
        <f>'Kanäle'!$C$25+'Kanäle'!$D$25</f>
        <v>4500</v>
      </c>
      <c r="H47" s="46">
        <f>'Kanäle'!$C$25+'Kanäle'!$D$25</f>
        <v>4500</v>
      </c>
      <c r="I47" s="45">
        <f>'Kanäle'!$C$25+'Kanäle'!$D$25</f>
        <v>4500</v>
      </c>
      <c r="J47" s="45">
        <f>'Kanäle'!$C$25+'Kanäle'!$D$25</f>
        <v>4500</v>
      </c>
      <c r="K47" s="45">
        <f>'Kanäle'!$C$25+'Kanäle'!$D$25</f>
        <v>4500</v>
      </c>
      <c r="L47" s="46">
        <f>'Kanäle'!$C$25+'Kanäle'!$D$25</f>
        <v>4500</v>
      </c>
      <c r="M47" s="46">
        <f>'Kanäle'!$C$25+'Kanäle'!$D$25</f>
        <v>4500</v>
      </c>
      <c r="N47" s="46">
        <f>'Kanäle'!$C$25+'Kanäle'!$D$25</f>
        <v>4500</v>
      </c>
      <c r="O47" s="44">
        <f t="shared" si="21"/>
        <v>54000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26" t="s">
        <v>25</v>
      </c>
      <c r="C48" s="45">
        <f>'Kanäle'!$B$30</f>
        <v>2250</v>
      </c>
      <c r="D48" s="45">
        <f>'Kanäle'!$B$30</f>
        <v>2250</v>
      </c>
      <c r="E48" s="45">
        <f>'Kanäle'!$B$30</f>
        <v>2250</v>
      </c>
      <c r="F48" s="46">
        <f>'Kanäle'!$B$30</f>
        <v>2250</v>
      </c>
      <c r="G48" s="46">
        <f>'Kanäle'!$B$30</f>
        <v>2250</v>
      </c>
      <c r="H48" s="46">
        <f>'Kanäle'!$B$30</f>
        <v>2250</v>
      </c>
      <c r="I48" s="45">
        <f>'Kanäle'!$B$30</f>
        <v>2250</v>
      </c>
      <c r="J48" s="45">
        <f>'Kanäle'!$B$30</f>
        <v>2250</v>
      </c>
      <c r="K48" s="45">
        <f>'Kanäle'!$B$30</f>
        <v>2250</v>
      </c>
      <c r="L48" s="46">
        <f>'Kanäle'!$B$30</f>
        <v>2250</v>
      </c>
      <c r="M48" s="46">
        <f>'Kanäle'!$B$30</f>
        <v>2250</v>
      </c>
      <c r="N48" s="46">
        <f>'Kanäle'!$B$30</f>
        <v>2250</v>
      </c>
      <c r="O48" s="44">
        <f t="shared" si="21"/>
        <v>27000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26" t="s">
        <v>26</v>
      </c>
      <c r="C49" s="45">
        <v>3000.0</v>
      </c>
      <c r="D49" s="45">
        <v>3000.0</v>
      </c>
      <c r="E49" s="45">
        <v>3000.0</v>
      </c>
      <c r="F49" s="46">
        <v>3000.0</v>
      </c>
      <c r="G49" s="46">
        <v>3000.0</v>
      </c>
      <c r="H49" s="46">
        <v>3000.0</v>
      </c>
      <c r="I49" s="45">
        <v>3000.0</v>
      </c>
      <c r="J49" s="45">
        <v>3000.0</v>
      </c>
      <c r="K49" s="45">
        <v>3000.0</v>
      </c>
      <c r="L49" s="46">
        <v>3000.0</v>
      </c>
      <c r="M49" s="46">
        <v>3000.0</v>
      </c>
      <c r="N49" s="46">
        <v>3000.0</v>
      </c>
      <c r="O49" s="44">
        <f t="shared" si="21"/>
        <v>36000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26" t="s">
        <v>27</v>
      </c>
      <c r="C50" s="45">
        <f>N32+(C45*0.1)</f>
        <v>13258.28381</v>
      </c>
      <c r="D50" s="45">
        <f t="shared" ref="D50:N50" si="25">C50+(D45*0.1)</f>
        <v>14503.34187</v>
      </c>
      <c r="E50" s="45">
        <f t="shared" si="25"/>
        <v>15998.39993</v>
      </c>
      <c r="F50" s="46">
        <f t="shared" si="25"/>
        <v>17443.45798</v>
      </c>
      <c r="G50" s="46">
        <f t="shared" si="25"/>
        <v>18838.51604</v>
      </c>
      <c r="H50" s="46">
        <f t="shared" si="25"/>
        <v>20483.5741</v>
      </c>
      <c r="I50" s="45">
        <f t="shared" si="25"/>
        <v>22078.63216</v>
      </c>
      <c r="J50" s="45">
        <f t="shared" si="25"/>
        <v>23623.69022</v>
      </c>
      <c r="K50" s="45">
        <f t="shared" si="25"/>
        <v>25418.74828</v>
      </c>
      <c r="L50" s="46">
        <f t="shared" si="25"/>
        <v>27163.80634</v>
      </c>
      <c r="M50" s="46">
        <f t="shared" si="25"/>
        <v>28858.8644</v>
      </c>
      <c r="N50" s="46">
        <f t="shared" si="25"/>
        <v>30803.92246</v>
      </c>
      <c r="O50" s="44">
        <f t="shared" si="21"/>
        <v>258473.2376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29" t="s">
        <v>28</v>
      </c>
      <c r="C51" s="45">
        <f t="shared" ref="C51:N51" si="26">SUM(C43:C50)*0.1</f>
        <v>6618.028933</v>
      </c>
      <c r="D51" s="45">
        <f t="shared" si="26"/>
        <v>6949.748988</v>
      </c>
      <c r="E51" s="45">
        <f t="shared" si="26"/>
        <v>7632.190468</v>
      </c>
      <c r="F51" s="46">
        <f t="shared" si="26"/>
        <v>8037.925516</v>
      </c>
      <c r="G51" s="46">
        <f t="shared" si="26"/>
        <v>8469.783487</v>
      </c>
      <c r="H51" s="46">
        <f t="shared" si="26"/>
        <v>9260.876676</v>
      </c>
      <c r="I51" s="45">
        <f t="shared" si="26"/>
        <v>9784.628602</v>
      </c>
      <c r="J51" s="45">
        <f t="shared" si="26"/>
        <v>10344.80514</v>
      </c>
      <c r="K51" s="45">
        <f t="shared" si="26"/>
        <v>11275.54875</v>
      </c>
      <c r="L51" s="46">
        <f t="shared" si="26"/>
        <v>11951.41615</v>
      </c>
      <c r="M51" s="46">
        <f t="shared" si="26"/>
        <v>12677.4197</v>
      </c>
      <c r="N51" s="46">
        <f t="shared" si="26"/>
        <v>13789.07302</v>
      </c>
      <c r="O51" s="44">
        <f t="shared" si="21"/>
        <v>116791.4454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7" t="s">
        <v>32</v>
      </c>
      <c r="C52" s="48">
        <f t="shared" ref="C52:O52" si="27">SUM(C43:C51)</f>
        <v>72798.31826</v>
      </c>
      <c r="D52" s="48">
        <f t="shared" si="27"/>
        <v>76447.23887</v>
      </c>
      <c r="E52" s="48">
        <f t="shared" si="27"/>
        <v>83954.09515</v>
      </c>
      <c r="F52" s="48">
        <f t="shared" si="27"/>
        <v>88417.18067</v>
      </c>
      <c r="G52" s="48">
        <f t="shared" si="27"/>
        <v>93167.61836</v>
      </c>
      <c r="H52" s="48">
        <f t="shared" si="27"/>
        <v>101869.6434</v>
      </c>
      <c r="I52" s="48">
        <f t="shared" si="27"/>
        <v>107630.9146</v>
      </c>
      <c r="J52" s="48">
        <f t="shared" si="27"/>
        <v>113792.8565</v>
      </c>
      <c r="K52" s="48">
        <f t="shared" si="27"/>
        <v>124031.0363</v>
      </c>
      <c r="L52" s="48">
        <f t="shared" si="27"/>
        <v>131465.5776</v>
      </c>
      <c r="M52" s="48">
        <f t="shared" si="27"/>
        <v>139451.6167</v>
      </c>
      <c r="N52" s="48">
        <f t="shared" si="27"/>
        <v>151679.8032</v>
      </c>
      <c r="O52" s="49">
        <f t="shared" si="27"/>
        <v>1284705.9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3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3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3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3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3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3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3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3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3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3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3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3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3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3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3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3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3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3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3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3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3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3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3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3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3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3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3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3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3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3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3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3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3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3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3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3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3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3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3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3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3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3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3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3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3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3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3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3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3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3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3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3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3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3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3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3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3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3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3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3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3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3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3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3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3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3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3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3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3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3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3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3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3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3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3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3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3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3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3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3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3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3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3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3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3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3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3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3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3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3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3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3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3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3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3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3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3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3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3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3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3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3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3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3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3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3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3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3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3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3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3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3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3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3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3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3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3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3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3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3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3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3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3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3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3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3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3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3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3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3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3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3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3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3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3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3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3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3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3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3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3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3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3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3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3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3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3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3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3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3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3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3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3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3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3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3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3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3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3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3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3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3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3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3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3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3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3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3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3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3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3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3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3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3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3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3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3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3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3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3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3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3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3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3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3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3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3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3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3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3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3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3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3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3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3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3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3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3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3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3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3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3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3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3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3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3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3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3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3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3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3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3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3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3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3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3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3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3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3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3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3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3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3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3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3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3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3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3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3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3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3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3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3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3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3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3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3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3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3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3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3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3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3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3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3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3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3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3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3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3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3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3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3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3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3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3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3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3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3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3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3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3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3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3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3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3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3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3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3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3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3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3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3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3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3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3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3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3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3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3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3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3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3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3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3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3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3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3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3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3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3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3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3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3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3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3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3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3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3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3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3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3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3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3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3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3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3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3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3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3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3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3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3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3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3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3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3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3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3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3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3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3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3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3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3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3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3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3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3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3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3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3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3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3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3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3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3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3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3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3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3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3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3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3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3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3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3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3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3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3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3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3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3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3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3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3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3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3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3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3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3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3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3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3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3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3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3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3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3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3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3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3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3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3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3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3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3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3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3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3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3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3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3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3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3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3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3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3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3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3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3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3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3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3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3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3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3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3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3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3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3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3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3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3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3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3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3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3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3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3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3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3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3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3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3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3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3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3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3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3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3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3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3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3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3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3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3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3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3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3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3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3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3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3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3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3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3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3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3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3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3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3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3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3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3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3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3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3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3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3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3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3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3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3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3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3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3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3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3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3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3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3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3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3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3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3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3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3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3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3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3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3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3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3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3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3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3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3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3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3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3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3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3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3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3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3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3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3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3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3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3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3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3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3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3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3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3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3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3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3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3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3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3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3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3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3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3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3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3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3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3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3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3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3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3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3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3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3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3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3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3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3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3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3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3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3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3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3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3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3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3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3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3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3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3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3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3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3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3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3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3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3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3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3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3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3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3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3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3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3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3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3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3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3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3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3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3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3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3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3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3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3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3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3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3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3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3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3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3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3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3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3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3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3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3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3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3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3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3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3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3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3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3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3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3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3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3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3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3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3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3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3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3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3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3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3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3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3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3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3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3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3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3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3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3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3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3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3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3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3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3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3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3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3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3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3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3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3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3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3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3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3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3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3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3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3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3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3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3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3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3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3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3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3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3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3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3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3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3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3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3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3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3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3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3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3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3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3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3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3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3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3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3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3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3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3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3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3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3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3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3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3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3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3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3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3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3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3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3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3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3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3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3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3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3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3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3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3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3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3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3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3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3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3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3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3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3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3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3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3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3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3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3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3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3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3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3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3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3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3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3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3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3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3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3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3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3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3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3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3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3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3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3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3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3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3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3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3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3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3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3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3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3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3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3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3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3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3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3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3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3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3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3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3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3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3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3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3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3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3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3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3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3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3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3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3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3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3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3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3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3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3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3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3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3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3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3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3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3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3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3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3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3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3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3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3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3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3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3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3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3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3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3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3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3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3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3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3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3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3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3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3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3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3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3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3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3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3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3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3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3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3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3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3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3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3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3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3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3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3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3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3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3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3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3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3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3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3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3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3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3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3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3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3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3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3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3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3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3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3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3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3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3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3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3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3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3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3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3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3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3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3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3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3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3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3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3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3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3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3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3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3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3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3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3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3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3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3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3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3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3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3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3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3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3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3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3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3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3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3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3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3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3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3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3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3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3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3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3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3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3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3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3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3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3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3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3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3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3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3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3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3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3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3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3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3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3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3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3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3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3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3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3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3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3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3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3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3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3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3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3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3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3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3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3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3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3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3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3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3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3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3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3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3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3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3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3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3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3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3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3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3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3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3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3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3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3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3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3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3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3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3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3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3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3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3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3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3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mergeCells count="19">
    <mergeCell ref="B1:D2"/>
    <mergeCell ref="B4:B5"/>
    <mergeCell ref="C4:E4"/>
    <mergeCell ref="F4:H4"/>
    <mergeCell ref="I4:K4"/>
    <mergeCell ref="L4:N4"/>
    <mergeCell ref="O4:O5"/>
    <mergeCell ref="C40:E40"/>
    <mergeCell ref="F40:H40"/>
    <mergeCell ref="I40:K40"/>
    <mergeCell ref="L40:N40"/>
    <mergeCell ref="B22:B23"/>
    <mergeCell ref="C22:E22"/>
    <mergeCell ref="F22:H22"/>
    <mergeCell ref="I22:K22"/>
    <mergeCell ref="L22:N22"/>
    <mergeCell ref="O22:O23"/>
    <mergeCell ref="B40:B41"/>
    <mergeCell ref="O40:O41"/>
  </mergeCells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FF99"/>
    <pageSetUpPr/>
  </sheetPr>
  <sheetViews>
    <sheetView workbookViewId="0"/>
  </sheetViews>
  <sheetFormatPr customHeight="1" defaultColWidth="11.22" defaultRowHeight="15.0"/>
  <cols>
    <col customWidth="1" min="1" max="1" width="1.33"/>
    <col customWidth="1" min="2" max="2" width="22.0"/>
    <col customWidth="1" min="3" max="11" width="13.67"/>
    <col customWidth="1" min="12" max="14" width="15.0"/>
    <col customWidth="1" min="15" max="15" width="16.0"/>
    <col customWidth="1" min="16" max="26" width="8.33"/>
  </cols>
  <sheetData>
    <row r="1" ht="16.5" customHeight="1">
      <c r="A1" s="51"/>
      <c r="B1" s="52" t="s">
        <v>38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16.5" customHeight="1">
      <c r="A2" s="51"/>
      <c r="E2" s="53"/>
      <c r="F2" s="53"/>
      <c r="G2" s="53"/>
      <c r="H2" s="53"/>
      <c r="I2" s="53"/>
      <c r="J2" s="53"/>
      <c r="K2" s="53"/>
      <c r="L2" s="53"/>
      <c r="M2" s="53"/>
      <c r="N2" s="54"/>
      <c r="O2" s="6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16.5" customHeight="1">
      <c r="A3" s="51"/>
      <c r="B3" s="55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35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16.5" customHeight="1">
      <c r="A4" s="51"/>
      <c r="B4" s="9">
        <v>2022.0</v>
      </c>
      <c r="C4" s="57" t="s">
        <v>2</v>
      </c>
      <c r="D4" s="11"/>
      <c r="E4" s="11"/>
      <c r="F4" s="58" t="s">
        <v>3</v>
      </c>
      <c r="G4" s="11"/>
      <c r="H4" s="11"/>
      <c r="I4" s="57" t="s">
        <v>4</v>
      </c>
      <c r="J4" s="11"/>
      <c r="K4" s="11"/>
      <c r="L4" s="58" t="s">
        <v>5</v>
      </c>
      <c r="M4" s="11"/>
      <c r="N4" s="11"/>
      <c r="O4" s="59" t="s">
        <v>39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16.5" customHeight="1">
      <c r="A5" s="51"/>
      <c r="B5" s="14"/>
      <c r="C5" s="60" t="s">
        <v>7</v>
      </c>
      <c r="D5" s="31" t="s">
        <v>8</v>
      </c>
      <c r="E5" s="31" t="s">
        <v>9</v>
      </c>
      <c r="F5" s="61" t="s">
        <v>10</v>
      </c>
      <c r="G5" s="62" t="s">
        <v>11</v>
      </c>
      <c r="H5" s="62" t="s">
        <v>12</v>
      </c>
      <c r="I5" s="60" t="s">
        <v>13</v>
      </c>
      <c r="J5" s="31" t="s">
        <v>14</v>
      </c>
      <c r="K5" s="31" t="s">
        <v>15</v>
      </c>
      <c r="L5" s="61" t="s">
        <v>16</v>
      </c>
      <c r="M5" s="62" t="s">
        <v>17</v>
      </c>
      <c r="N5" s="62" t="s">
        <v>18</v>
      </c>
      <c r="O5" s="14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16.5" customHeight="1">
      <c r="A6" s="51"/>
      <c r="B6" s="63" t="s">
        <v>19</v>
      </c>
      <c r="C6" s="21">
        <f t="shared" ref="C6:N6" si="1">SUM(C7:C15)</f>
        <v>0</v>
      </c>
      <c r="D6" s="21">
        <f t="shared" si="1"/>
        <v>0</v>
      </c>
      <c r="E6" s="21">
        <f t="shared" si="1"/>
        <v>14200</v>
      </c>
      <c r="F6" s="23">
        <f t="shared" si="1"/>
        <v>19282.5</v>
      </c>
      <c r="G6" s="23">
        <f t="shared" si="1"/>
        <v>24210.625</v>
      </c>
      <c r="H6" s="23">
        <f t="shared" si="1"/>
        <v>30370.78125</v>
      </c>
      <c r="I6" s="21">
        <f t="shared" si="1"/>
        <v>38363.94531</v>
      </c>
      <c r="J6" s="21">
        <f t="shared" si="1"/>
        <v>48062.43164</v>
      </c>
      <c r="K6" s="21">
        <f t="shared" si="1"/>
        <v>60185.53955</v>
      </c>
      <c r="L6" s="23">
        <f t="shared" si="1"/>
        <v>75339.42444</v>
      </c>
      <c r="M6" s="23">
        <f t="shared" si="1"/>
        <v>94281.78055</v>
      </c>
      <c r="N6" s="23">
        <f t="shared" si="1"/>
        <v>117959.7257</v>
      </c>
      <c r="O6" s="25">
        <f t="shared" ref="O6:O15" si="2">SUM(C6:N6)</f>
        <v>522256.7534</v>
      </c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16.5" customHeight="1">
      <c r="A7" s="51"/>
      <c r="B7" s="26" t="s">
        <v>37</v>
      </c>
      <c r="C7" s="27">
        <f>(Traffic!C7*'Kanäle'!$C$5)*'Kanäle'!$C$2</f>
        <v>0</v>
      </c>
      <c r="D7" s="27">
        <f>(Traffic!D7*'Kanäle'!$C$5)*'Kanäle'!$C$2</f>
        <v>0</v>
      </c>
      <c r="E7" s="27">
        <f>(Traffic!E7*'Kanäle'!$C$5)*'Kanäle'!$C$2</f>
        <v>6000</v>
      </c>
      <c r="F7" s="28">
        <f>(Traffic!F7*'Kanäle'!$C$5)*'Kanäle'!$C$2</f>
        <v>7500</v>
      </c>
      <c r="G7" s="28">
        <f>(Traffic!G7*'Kanäle'!$C$5)*'Kanäle'!$C$2</f>
        <v>9375</v>
      </c>
      <c r="H7" s="28">
        <f>(Traffic!H7*'Kanäle'!$C$5)*'Kanäle'!$C$2</f>
        <v>11718.75</v>
      </c>
      <c r="I7" s="27">
        <f>(Traffic!I7*'Kanäle'!$C$5)*'Kanäle'!$C$2</f>
        <v>14648.4375</v>
      </c>
      <c r="J7" s="27">
        <f>(Traffic!J7*'Kanäle'!$C$5)*'Kanäle'!$C$2</f>
        <v>18310.54688</v>
      </c>
      <c r="K7" s="27">
        <f>(Traffic!K7*'Kanäle'!$C$5)*'Kanäle'!$C$2</f>
        <v>22888.18359</v>
      </c>
      <c r="L7" s="28">
        <f>(Traffic!L7*'Kanäle'!$C$5)*'Kanäle'!$C$2</f>
        <v>28610.22949</v>
      </c>
      <c r="M7" s="28">
        <f>(Traffic!M7*'Kanäle'!$C$5)*'Kanäle'!$C$2</f>
        <v>35762.78687</v>
      </c>
      <c r="N7" s="28">
        <f>(Traffic!N7*'Kanäle'!$C$5)*'Kanäle'!$C$2</f>
        <v>44703.48358</v>
      </c>
      <c r="O7" s="25">
        <f t="shared" si="2"/>
        <v>199517.4179</v>
      </c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16.5" customHeight="1">
      <c r="A8" s="51"/>
      <c r="B8" s="26"/>
      <c r="C8" s="27">
        <v>0.0</v>
      </c>
      <c r="D8" s="27">
        <v>0.0</v>
      </c>
      <c r="E8" s="27">
        <v>0.0</v>
      </c>
      <c r="F8" s="28">
        <v>0.0</v>
      </c>
      <c r="G8" s="28">
        <v>0.0</v>
      </c>
      <c r="H8" s="28">
        <v>0.0</v>
      </c>
      <c r="I8" s="27">
        <v>0.0</v>
      </c>
      <c r="J8" s="27">
        <v>0.0</v>
      </c>
      <c r="K8" s="27">
        <v>0.0</v>
      </c>
      <c r="L8" s="28">
        <v>0.0</v>
      </c>
      <c r="M8" s="28">
        <v>0.0</v>
      </c>
      <c r="N8" s="28">
        <v>0.0</v>
      </c>
      <c r="O8" s="25">
        <f t="shared" si="2"/>
        <v>0</v>
      </c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16.5" customHeight="1">
      <c r="A9" s="51"/>
      <c r="B9" s="26" t="s">
        <v>22</v>
      </c>
      <c r="C9" s="27">
        <f>(Traffic!C9*'Kanäle'!$C$13)*'Kanäle'!$C$2</f>
        <v>0</v>
      </c>
      <c r="D9" s="27">
        <f>(Traffic!D9*'Kanäle'!$C$13)*'Kanäle'!$C$2</f>
        <v>0</v>
      </c>
      <c r="E9" s="27">
        <f>(Traffic!E9*'Kanäle'!$C$13)*'Kanäle'!$C$2</f>
        <v>8000</v>
      </c>
      <c r="F9" s="28">
        <f>(Traffic!F9*'Kanäle'!$C$13)*'Kanäle'!$C$2</f>
        <v>10000</v>
      </c>
      <c r="G9" s="28">
        <f>(Traffic!G9*'Kanäle'!$C$13)*'Kanäle'!$C$2</f>
        <v>12500</v>
      </c>
      <c r="H9" s="28">
        <f>(Traffic!H9*'Kanäle'!$C$13)*'Kanäle'!$C$2</f>
        <v>15625</v>
      </c>
      <c r="I9" s="27">
        <f>(Traffic!I9*'Kanäle'!$C$13)*'Kanäle'!$C$2</f>
        <v>19531.25</v>
      </c>
      <c r="J9" s="27">
        <f>(Traffic!J9*'Kanäle'!$C$13)*'Kanäle'!$C$2</f>
        <v>24414.0625</v>
      </c>
      <c r="K9" s="27">
        <f>(Traffic!K9*'Kanäle'!$C$13)*'Kanäle'!$C$2</f>
        <v>30517.57813</v>
      </c>
      <c r="L9" s="28">
        <f>(Traffic!L9*'Kanäle'!$C$13)*'Kanäle'!$C$2</f>
        <v>38146.97266</v>
      </c>
      <c r="M9" s="28">
        <f>(Traffic!M9*'Kanäle'!$C$13)*'Kanäle'!$C$2</f>
        <v>47683.71582</v>
      </c>
      <c r="N9" s="28">
        <f>(Traffic!N9*'Kanäle'!$C$13)*'Kanäle'!$C$2</f>
        <v>59604.64478</v>
      </c>
      <c r="O9" s="25">
        <f t="shared" si="2"/>
        <v>266023.2239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16.5" customHeight="1">
      <c r="A10" s="51"/>
      <c r="B10" s="26" t="s">
        <v>23</v>
      </c>
      <c r="C10" s="27">
        <f>(Traffic!C10*'Kanäle'!$C$17)*'Kanäle'!$C$2</f>
        <v>0</v>
      </c>
      <c r="D10" s="27">
        <f>(Traffic!D10*'Kanäle'!$C$17)*'Kanäle'!$C$2</f>
        <v>0</v>
      </c>
      <c r="E10" s="27">
        <f>(Traffic!E10*'Kanäle'!$C$17)*'Kanäle'!$C$2</f>
        <v>0</v>
      </c>
      <c r="F10" s="28">
        <f>(Traffic!F10*'Kanäle'!$C$17)*'Kanäle'!$C$2</f>
        <v>0</v>
      </c>
      <c r="G10" s="28">
        <f>(Traffic!G10*'Kanäle'!$C$17)*'Kanäle'!$C$2</f>
        <v>0</v>
      </c>
      <c r="H10" s="28">
        <f>(Traffic!H10*'Kanäle'!$C$17)*'Kanäle'!$C$2</f>
        <v>0</v>
      </c>
      <c r="I10" s="27">
        <f>(Traffic!I10*'Kanäle'!$C$17)*'Kanäle'!$C$2</f>
        <v>0</v>
      </c>
      <c r="J10" s="27">
        <f>(Traffic!J10*'Kanäle'!$C$17)*'Kanäle'!$C$2</f>
        <v>0</v>
      </c>
      <c r="K10" s="27">
        <f>(Traffic!K10*'Kanäle'!$C$17)*'Kanäle'!$C$2</f>
        <v>0</v>
      </c>
      <c r="L10" s="28">
        <f>(Traffic!L10*'Kanäle'!$C$17)*'Kanäle'!$C$2</f>
        <v>0</v>
      </c>
      <c r="M10" s="28">
        <f>(Traffic!M10*'Kanäle'!$C$17)*'Kanäle'!$C$2</f>
        <v>0</v>
      </c>
      <c r="N10" s="28">
        <f>(Traffic!N10*'Kanäle'!$C$17)*'Kanäle'!$C$2</f>
        <v>0</v>
      </c>
      <c r="O10" s="25">
        <f t="shared" si="2"/>
        <v>0</v>
      </c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16.5" customHeight="1">
      <c r="A11" s="51"/>
      <c r="B11" s="26" t="s">
        <v>24</v>
      </c>
      <c r="C11" s="27">
        <f>(Traffic!C11*'Kanäle'!$C$22)*'Kanäle'!$C$2</f>
        <v>0</v>
      </c>
      <c r="D11" s="27">
        <f>(Traffic!D11*'Kanäle'!$C$22)*'Kanäle'!$C$2</f>
        <v>0</v>
      </c>
      <c r="E11" s="27">
        <f>(Traffic!E11*'Kanäle'!$C$22)*'Kanäle'!$C$2</f>
        <v>0</v>
      </c>
      <c r="F11" s="28">
        <f>(Traffic!F11*'Kanäle'!$C$22)*'Kanäle'!$C$2</f>
        <v>0</v>
      </c>
      <c r="G11" s="28">
        <f>(Traffic!G11*'Kanäle'!$C$22)*'Kanäle'!$C$2</f>
        <v>0</v>
      </c>
      <c r="H11" s="28">
        <f>(Traffic!H11*'Kanäle'!$C$22)*'Kanäle'!$C$2</f>
        <v>0</v>
      </c>
      <c r="I11" s="27">
        <f>(Traffic!I11*'Kanäle'!$C$22)*'Kanäle'!$C$2</f>
        <v>0</v>
      </c>
      <c r="J11" s="27">
        <f>(Traffic!J11*'Kanäle'!$C$22)*'Kanäle'!$C$2</f>
        <v>0</v>
      </c>
      <c r="K11" s="27">
        <f>(Traffic!K11*'Kanäle'!$C$22)*'Kanäle'!$C$2</f>
        <v>0</v>
      </c>
      <c r="L11" s="28">
        <f>(Traffic!L11*'Kanäle'!$C$22)*'Kanäle'!$C$2</f>
        <v>0</v>
      </c>
      <c r="M11" s="28">
        <f>(Traffic!M11*'Kanäle'!$C$22)*'Kanäle'!$C$2</f>
        <v>0</v>
      </c>
      <c r="N11" s="28">
        <f>(Traffic!N11*'Kanäle'!$C$22)*'Kanäle'!$C$2</f>
        <v>0</v>
      </c>
      <c r="O11" s="25">
        <f t="shared" si="2"/>
        <v>0</v>
      </c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ht="16.5" customHeight="1">
      <c r="A12" s="51"/>
      <c r="B12" s="26" t="s">
        <v>25</v>
      </c>
      <c r="C12" s="27">
        <f>(Traffic!C12*'Kanäle'!$C$27)*'Kanäle'!$C$2</f>
        <v>0</v>
      </c>
      <c r="D12" s="27">
        <f>(Traffic!D12*'Kanäle'!$C$27)*'Kanäle'!$C$2</f>
        <v>0</v>
      </c>
      <c r="E12" s="27">
        <f>(Traffic!E12*'Kanäle'!$C$27)*'Kanäle'!$C$2</f>
        <v>0</v>
      </c>
      <c r="F12" s="28">
        <f>(Traffic!F12*'Kanäle'!$C$27)*'Kanäle'!$C$2</f>
        <v>0</v>
      </c>
      <c r="G12" s="28">
        <f>(Traffic!G12*'Kanäle'!$C$27)*'Kanäle'!$C$2</f>
        <v>0</v>
      </c>
      <c r="H12" s="28">
        <f>(Traffic!H12*'Kanäle'!$C$27)*'Kanäle'!$C$2</f>
        <v>0</v>
      </c>
      <c r="I12" s="27">
        <f>(Traffic!I12*'Kanäle'!$C$27)*'Kanäle'!$C$2</f>
        <v>0</v>
      </c>
      <c r="J12" s="27">
        <f>(Traffic!J12*'Kanäle'!$C$27)*'Kanäle'!$C$2</f>
        <v>0</v>
      </c>
      <c r="K12" s="27">
        <f>(Traffic!K12*'Kanäle'!$C$27)*'Kanäle'!$C$2</f>
        <v>0</v>
      </c>
      <c r="L12" s="28">
        <f>(Traffic!L12*'Kanäle'!$C$27)*'Kanäle'!$C$2</f>
        <v>0</v>
      </c>
      <c r="M12" s="28">
        <f>(Traffic!M12*'Kanäle'!$C$27)*'Kanäle'!$C$2</f>
        <v>0</v>
      </c>
      <c r="N12" s="28">
        <f>(Traffic!N12*'Kanäle'!$C$27)*'Kanäle'!$C$2</f>
        <v>0</v>
      </c>
      <c r="O12" s="25">
        <f t="shared" si="2"/>
        <v>0</v>
      </c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ht="16.5" customHeight="1">
      <c r="A13" s="51"/>
      <c r="B13" s="26" t="s">
        <v>26</v>
      </c>
      <c r="C13" s="27">
        <f>(Traffic!C13*'Kanäle'!$C$32)*'Kanäle'!$C$2</f>
        <v>0</v>
      </c>
      <c r="D13" s="27">
        <f>(Traffic!D13*'Kanäle'!$C$32)*'Kanäle'!$C$2</f>
        <v>0</v>
      </c>
      <c r="E13" s="27">
        <f>(Traffic!E13*'Kanäle'!$C$32)*'Kanäle'!$C$2</f>
        <v>200</v>
      </c>
      <c r="F13" s="28">
        <f>(Traffic!F13*0.02)*40</f>
        <v>100</v>
      </c>
      <c r="G13" s="28">
        <f>(Traffic!G13*0.02)*40</f>
        <v>125</v>
      </c>
      <c r="H13" s="28">
        <f>(Traffic!H13*0.02)*40</f>
        <v>156.25</v>
      </c>
      <c r="I13" s="27">
        <f>(Traffic!I13*'Kanäle'!$C$32)*'Kanäle'!$C$2</f>
        <v>488.28125</v>
      </c>
      <c r="J13" s="27">
        <f>(Traffic!J13*'Kanäle'!$C$32)*'Kanäle'!$C$2</f>
        <v>610.3515625</v>
      </c>
      <c r="K13" s="27">
        <f>(Traffic!K13*'Kanäle'!$C$32)*'Kanäle'!$C$2</f>
        <v>762.9394531</v>
      </c>
      <c r="L13" s="28">
        <f>(Traffic!L13*'Kanäle'!$C$32)*'Kanäle'!$C$2</f>
        <v>953.6743164</v>
      </c>
      <c r="M13" s="28">
        <f>(Traffic!M13*'Kanäle'!$C$32)*'Kanäle'!$C$2</f>
        <v>1192.092896</v>
      </c>
      <c r="N13" s="28">
        <f>(Traffic!N13*'Kanäle'!$C$32)*'Kanäle'!$C$2</f>
        <v>1490.116119</v>
      </c>
      <c r="O13" s="25">
        <f t="shared" si="2"/>
        <v>6078.705597</v>
      </c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ht="16.5" customHeight="1">
      <c r="A14" s="51"/>
      <c r="B14" s="26" t="s">
        <v>27</v>
      </c>
      <c r="C14" s="27">
        <f>(Traffic!C14*'Kanäle'!$C$36)*'Kanäle'!$C$2</f>
        <v>0</v>
      </c>
      <c r="D14" s="27">
        <f>(Traffic!D14*'Kanäle'!$C$36)*'Kanäle'!$C$2</f>
        <v>0</v>
      </c>
      <c r="E14" s="27">
        <f>(Traffic!E14*'Kanäle'!$C$36)*'Kanäle'!$C$2</f>
        <v>0</v>
      </c>
      <c r="F14" s="28">
        <f>(Traffic!F14*'Kanäle'!$C$36)*'Kanäle'!$C$2</f>
        <v>100</v>
      </c>
      <c r="G14" s="28">
        <f>(Traffic!G14*'Kanäle'!$C$36)*'Kanäle'!$C$2</f>
        <v>225</v>
      </c>
      <c r="H14" s="28">
        <f>(Traffic!H14*'Kanäle'!$C$36)*'Kanäle'!$C$2</f>
        <v>381.25</v>
      </c>
      <c r="I14" s="27">
        <f>(Traffic!I14*'Kanäle'!$C$36)*'Kanäle'!$C$2</f>
        <v>576.5625</v>
      </c>
      <c r="J14" s="27">
        <f>(Traffic!J14*'Kanäle'!$C$36)*'Kanäle'!$C$2</f>
        <v>820.703125</v>
      </c>
      <c r="K14" s="27">
        <f>(Traffic!K14*'Kanäle'!$C$36)*'Kanäle'!$C$2</f>
        <v>1125.878906</v>
      </c>
      <c r="L14" s="28">
        <f>(Traffic!L14*'Kanäle'!$C$36)*'Kanäle'!$C$2</f>
        <v>1507.348633</v>
      </c>
      <c r="M14" s="28">
        <f>(Traffic!M14*'Kanäle'!$C$36)*'Kanäle'!$C$2</f>
        <v>1984.185791</v>
      </c>
      <c r="N14" s="28">
        <f>(Traffic!N14*'Kanäle'!$C$36)*'Kanäle'!$C$2</f>
        <v>2580.232239</v>
      </c>
      <c r="O14" s="25">
        <f t="shared" si="2"/>
        <v>9301.161194</v>
      </c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ht="16.5" customHeight="1">
      <c r="A15" s="51"/>
      <c r="B15" s="29" t="s">
        <v>28</v>
      </c>
      <c r="C15" s="27">
        <f>(Traffic!C15*'Kanäle'!$B$2)*'Kanäle'!$C$2</f>
        <v>0</v>
      </c>
      <c r="D15" s="27">
        <f>(Traffic!D15*'Kanäle'!$B$2)*'Kanäle'!$C$2</f>
        <v>0</v>
      </c>
      <c r="E15" s="27">
        <f>(Traffic!E15*'Kanäle'!$B$2)*'Kanäle'!$C$2</f>
        <v>0</v>
      </c>
      <c r="F15" s="28">
        <f>(Traffic!F15*'Kanäle'!$B$2)*'Kanäle'!$C$2</f>
        <v>1582.5</v>
      </c>
      <c r="G15" s="28">
        <f>(Traffic!G15*'Kanäle'!$B$2)*'Kanäle'!$C$2</f>
        <v>1985.625</v>
      </c>
      <c r="H15" s="28">
        <f>(Traffic!H15*'Kanäle'!$B$2)*'Kanäle'!$C$2</f>
        <v>2489.53125</v>
      </c>
      <c r="I15" s="27">
        <f>(Traffic!I15*'Kanäle'!$B$2)*'Kanäle'!$C$2</f>
        <v>3119.414063</v>
      </c>
      <c r="J15" s="27">
        <f>(Traffic!J15*'Kanäle'!$B$2)*'Kanäle'!$C$2</f>
        <v>3906.767578</v>
      </c>
      <c r="K15" s="27">
        <f>(Traffic!K15*'Kanäle'!$B$2)*'Kanäle'!$C$2</f>
        <v>4890.959473</v>
      </c>
      <c r="L15" s="28">
        <f>(Traffic!L15*'Kanäle'!$B$2)*'Kanäle'!$C$2</f>
        <v>6121.199341</v>
      </c>
      <c r="M15" s="28">
        <f>(Traffic!M15*'Kanäle'!$B$2)*'Kanäle'!$C$2</f>
        <v>7658.999176</v>
      </c>
      <c r="N15" s="28">
        <f>(Traffic!N15*'Kanäle'!$B$2)*'Kanäle'!$C$2</f>
        <v>9581.24897</v>
      </c>
      <c r="O15" s="25">
        <f t="shared" si="2"/>
        <v>41336.24485</v>
      </c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16.5" customHeight="1">
      <c r="A16" s="51"/>
      <c r="B16" s="61" t="s">
        <v>32</v>
      </c>
      <c r="C16" s="31">
        <f t="shared" ref="C16:O16" si="3">SUM(C7:C15)</f>
        <v>0</v>
      </c>
      <c r="D16" s="31">
        <f t="shared" si="3"/>
        <v>0</v>
      </c>
      <c r="E16" s="31">
        <f t="shared" si="3"/>
        <v>14200</v>
      </c>
      <c r="F16" s="31">
        <f t="shared" si="3"/>
        <v>19282.5</v>
      </c>
      <c r="G16" s="31">
        <f t="shared" si="3"/>
        <v>24210.625</v>
      </c>
      <c r="H16" s="31">
        <f t="shared" si="3"/>
        <v>30370.78125</v>
      </c>
      <c r="I16" s="31">
        <f t="shared" si="3"/>
        <v>38363.94531</v>
      </c>
      <c r="J16" s="31">
        <f t="shared" si="3"/>
        <v>48062.43164</v>
      </c>
      <c r="K16" s="31">
        <f t="shared" si="3"/>
        <v>60185.53955</v>
      </c>
      <c r="L16" s="31">
        <f t="shared" si="3"/>
        <v>75339.42444</v>
      </c>
      <c r="M16" s="31">
        <f t="shared" si="3"/>
        <v>94281.78055</v>
      </c>
      <c r="N16" s="31">
        <f t="shared" si="3"/>
        <v>117959.7257</v>
      </c>
      <c r="O16" s="32">
        <f t="shared" si="3"/>
        <v>522256.7534</v>
      </c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16.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16.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16.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16.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6.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51"/>
      <c r="B22" s="9">
        <v>2023.0</v>
      </c>
      <c r="C22" s="64" t="s">
        <v>2</v>
      </c>
      <c r="D22" s="65"/>
      <c r="E22" s="65"/>
      <c r="F22" s="66" t="s">
        <v>3</v>
      </c>
      <c r="G22" s="67"/>
      <c r="H22" s="67"/>
      <c r="I22" s="64" t="s">
        <v>4</v>
      </c>
      <c r="J22" s="65"/>
      <c r="K22" s="65"/>
      <c r="L22" s="66" t="s">
        <v>5</v>
      </c>
      <c r="M22" s="67"/>
      <c r="N22" s="67"/>
      <c r="O22" s="68" t="s">
        <v>40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6.5" customHeight="1">
      <c r="A23" s="51"/>
      <c r="B23" s="14"/>
      <c r="C23" s="60" t="s">
        <v>7</v>
      </c>
      <c r="D23" s="31" t="s">
        <v>8</v>
      </c>
      <c r="E23" s="31" t="s">
        <v>9</v>
      </c>
      <c r="F23" s="61" t="s">
        <v>10</v>
      </c>
      <c r="G23" s="62" t="s">
        <v>11</v>
      </c>
      <c r="H23" s="62" t="s">
        <v>12</v>
      </c>
      <c r="I23" s="60" t="s">
        <v>13</v>
      </c>
      <c r="J23" s="31" t="s">
        <v>14</v>
      </c>
      <c r="K23" s="31" t="s">
        <v>15</v>
      </c>
      <c r="L23" s="61" t="s">
        <v>16</v>
      </c>
      <c r="M23" s="62" t="s">
        <v>17</v>
      </c>
      <c r="N23" s="62" t="s">
        <v>18</v>
      </c>
      <c r="O23" s="69" t="s">
        <v>32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6.5" customHeight="1">
      <c r="A24" s="51"/>
      <c r="B24" s="63" t="s">
        <v>19</v>
      </c>
      <c r="C24" s="21">
        <f t="shared" ref="C24:N24" si="4">SUM(C25:C33)</f>
        <v>221498.3233</v>
      </c>
      <c r="D24" s="21">
        <f t="shared" si="4"/>
        <v>228368.0307</v>
      </c>
      <c r="E24" s="21">
        <f t="shared" si="4"/>
        <v>263749.959</v>
      </c>
      <c r="F24" s="23">
        <f t="shared" si="4"/>
        <v>273520.3301</v>
      </c>
      <c r="G24" s="23">
        <f t="shared" si="4"/>
        <v>283540.9884</v>
      </c>
      <c r="H24" s="23">
        <f t="shared" si="4"/>
        <v>322259.9626</v>
      </c>
      <c r="I24" s="21">
        <f t="shared" si="4"/>
        <v>335572.0843</v>
      </c>
      <c r="J24" s="21">
        <f t="shared" si="4"/>
        <v>349359.6683</v>
      </c>
      <c r="K24" s="21">
        <f t="shared" si="4"/>
        <v>392093.2607</v>
      </c>
      <c r="L24" s="23">
        <f t="shared" si="4"/>
        <v>409692.4624</v>
      </c>
      <c r="M24" s="23">
        <f t="shared" si="4"/>
        <v>428066.8344</v>
      </c>
      <c r="N24" s="23">
        <f t="shared" si="4"/>
        <v>475716.8936</v>
      </c>
      <c r="O24" s="25">
        <f t="shared" ref="O24:O33" si="5">SUM(C24:N24)</f>
        <v>3983438.798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6.5" customHeight="1">
      <c r="A25" s="51"/>
      <c r="B25" s="26" t="s">
        <v>37</v>
      </c>
      <c r="C25" s="27">
        <f>(Traffic!C25*'Kanäle'!$C$5)*'Kanäle'!$C$2</f>
        <v>49173.83194</v>
      </c>
      <c r="D25" s="27">
        <f>(Traffic!D25*'Kanäle'!$C$5)*'Kanäle'!$C$2</f>
        <v>54091.21513</v>
      </c>
      <c r="E25" s="27">
        <f>(Traffic!E25*'Kanäle'!$C$5)*'Kanäle'!$C$2</f>
        <v>59500.33665</v>
      </c>
      <c r="F25" s="28">
        <f>(Traffic!F25*'Kanäle'!$C$5)*'Kanäle'!$C$2</f>
        <v>65450.37031</v>
      </c>
      <c r="G25" s="28">
        <f>(Traffic!G25*'Kanäle'!$C$5)*'Kanäle'!$C$2</f>
        <v>71995.40734</v>
      </c>
      <c r="H25" s="28">
        <f>(Traffic!H25*'Kanäle'!$C$5)*'Kanäle'!$C$2</f>
        <v>79194.94808</v>
      </c>
      <c r="I25" s="27">
        <f>(Traffic!I25*'Kanäle'!$C$5)*'Kanäle'!$C$2</f>
        <v>87114.44288</v>
      </c>
      <c r="J25" s="27">
        <f>(Traffic!J25*'Kanäle'!$C$5)*'Kanäle'!$C$2</f>
        <v>95825.88717</v>
      </c>
      <c r="K25" s="27">
        <f>(Traffic!K25*'Kanäle'!$C$5)*'Kanäle'!$C$2</f>
        <v>105408.4759</v>
      </c>
      <c r="L25" s="28">
        <f>(Traffic!L25*'Kanäle'!$C$5)*'Kanäle'!$C$2</f>
        <v>115949.3235</v>
      </c>
      <c r="M25" s="28">
        <f>(Traffic!M25*'Kanäle'!$C$5)*'Kanäle'!$C$2</f>
        <v>127544.2558</v>
      </c>
      <c r="N25" s="28">
        <f>(Traffic!N25*'Kanäle'!$C$5)*'Kanäle'!$C$2</f>
        <v>140298.6814</v>
      </c>
      <c r="O25" s="25">
        <f t="shared" si="5"/>
        <v>1051547.176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6.5" customHeight="1">
      <c r="A26" s="51"/>
      <c r="B26" s="26"/>
      <c r="C26" s="27">
        <v>0.0</v>
      </c>
      <c r="D26" s="27">
        <v>0.0</v>
      </c>
      <c r="E26" s="27">
        <v>0.0</v>
      </c>
      <c r="F26" s="28">
        <v>0.0</v>
      </c>
      <c r="G26" s="28">
        <v>0.0</v>
      </c>
      <c r="H26" s="28">
        <v>0.0</v>
      </c>
      <c r="I26" s="27">
        <v>0.0</v>
      </c>
      <c r="J26" s="27">
        <v>0.0</v>
      </c>
      <c r="K26" s="27">
        <v>0.0</v>
      </c>
      <c r="L26" s="28">
        <v>0.0</v>
      </c>
      <c r="M26" s="28">
        <v>0.0</v>
      </c>
      <c r="N26" s="28">
        <v>0.0</v>
      </c>
      <c r="O26" s="25">
        <f t="shared" si="5"/>
        <v>0</v>
      </c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6.5" customHeight="1">
      <c r="A27" s="51"/>
      <c r="B27" s="26" t="s">
        <v>22</v>
      </c>
      <c r="C27" s="27">
        <f>(Traffic!C27*'Kanäle'!$C$13)*'Kanäle'!$C$2</f>
        <v>55604.64478</v>
      </c>
      <c r="D27" s="27">
        <f>(Traffic!D27*'Kanäle'!$C$13)*'Kanäle'!$C$2</f>
        <v>51604.64478</v>
      </c>
      <c r="E27" s="27">
        <f>(Traffic!E27*'Kanäle'!$C$13)*'Kanäle'!$C$2</f>
        <v>71604.64478</v>
      </c>
      <c r="F27" s="28">
        <f>(Traffic!F27*'Kanäle'!$C$13)*'Kanäle'!$C$2</f>
        <v>67604.64478</v>
      </c>
      <c r="G27" s="28">
        <f>(Traffic!G27*'Kanäle'!$C$13)*'Kanäle'!$C$2</f>
        <v>63604.64478</v>
      </c>
      <c r="H27" s="28">
        <f>(Traffic!H27*'Kanäle'!$C$13)*'Kanäle'!$C$2</f>
        <v>83604.64478</v>
      </c>
      <c r="I27" s="27">
        <f>(Traffic!I27*'Kanäle'!$C$13)*'Kanäle'!$C$2</f>
        <v>79604.64478</v>
      </c>
      <c r="J27" s="27">
        <f>(Traffic!J27*'Kanäle'!$C$13)*'Kanäle'!$C$2</f>
        <v>75604.64478</v>
      </c>
      <c r="K27" s="27">
        <f>(Traffic!K27*'Kanäle'!$C$13)*'Kanäle'!$C$2</f>
        <v>95604.64478</v>
      </c>
      <c r="L27" s="28">
        <f>(Traffic!L27*'Kanäle'!$C$13)*'Kanäle'!$C$2</f>
        <v>91604.64478</v>
      </c>
      <c r="M27" s="28">
        <f>(Traffic!M27*'Kanäle'!$C$13)*'Kanäle'!$C$2</f>
        <v>87604.64478</v>
      </c>
      <c r="N27" s="28">
        <f>(Traffic!N27*'Kanäle'!$C$13)*'Kanäle'!$C$2</f>
        <v>107604.6448</v>
      </c>
      <c r="O27" s="25">
        <f t="shared" si="5"/>
        <v>931255.7373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6.5" customHeight="1">
      <c r="A28" s="51"/>
      <c r="B28" s="26" t="s">
        <v>23</v>
      </c>
      <c r="C28" s="27">
        <f>(Traffic!C28*'Kanäle'!$C$17)*'Kanäle'!$C$2</f>
        <v>36000</v>
      </c>
      <c r="D28" s="27">
        <f>(Traffic!D28*'Kanäle'!$C$17)*'Kanäle'!$C$2</f>
        <v>36000</v>
      </c>
      <c r="E28" s="27">
        <f>(Traffic!E28*'Kanäle'!$C$17)*'Kanäle'!$C$2</f>
        <v>36000</v>
      </c>
      <c r="F28" s="28">
        <f>(Traffic!F28*'Kanäle'!$C$17)*'Kanäle'!$C$2</f>
        <v>36000</v>
      </c>
      <c r="G28" s="28">
        <f>(Traffic!G28*'Kanäle'!$C$17)*'Kanäle'!$C$2</f>
        <v>36000</v>
      </c>
      <c r="H28" s="28">
        <f>(Traffic!H28*'Kanäle'!$C$17)*'Kanäle'!$C$2</f>
        <v>36000</v>
      </c>
      <c r="I28" s="27">
        <f>(Traffic!I28*'Kanäle'!$C$17)*'Kanäle'!$C$2</f>
        <v>36000</v>
      </c>
      <c r="J28" s="27">
        <f>(Traffic!J28*'Kanäle'!$C$17)*'Kanäle'!$C$2</f>
        <v>36000</v>
      </c>
      <c r="K28" s="27">
        <f>(Traffic!K28*'Kanäle'!$C$17)*'Kanäle'!$C$2</f>
        <v>36000</v>
      </c>
      <c r="L28" s="28">
        <f>(Traffic!L28*'Kanäle'!$C$17)*'Kanäle'!$C$2</f>
        <v>36000</v>
      </c>
      <c r="M28" s="28">
        <f>(Traffic!M28*'Kanäle'!$C$17)*'Kanäle'!$C$2</f>
        <v>36000</v>
      </c>
      <c r="N28" s="28">
        <f>(Traffic!N28*'Kanäle'!$C$17)*'Kanäle'!$C$2</f>
        <v>36000</v>
      </c>
      <c r="O28" s="25">
        <f t="shared" si="5"/>
        <v>432000</v>
      </c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6.5" customHeight="1">
      <c r="A29" s="51"/>
      <c r="B29" s="26" t="s">
        <v>24</v>
      </c>
      <c r="C29" s="27">
        <f>(Traffic!C29*'Kanäle'!$C$22)*'Kanäle'!$C$2</f>
        <v>36000</v>
      </c>
      <c r="D29" s="27">
        <f>(Traffic!D29*'Kanäle'!$C$22)*'Kanäle'!$C$2</f>
        <v>36000</v>
      </c>
      <c r="E29" s="27">
        <f>(Traffic!E29*'Kanäle'!$C$22)*'Kanäle'!$C$2</f>
        <v>36000</v>
      </c>
      <c r="F29" s="28">
        <f>(Traffic!F29*'Kanäle'!$C$22)*'Kanäle'!$C$2</f>
        <v>36000</v>
      </c>
      <c r="G29" s="28">
        <f>(Traffic!G29*'Kanäle'!$C$22)*'Kanäle'!$C$2</f>
        <v>36000</v>
      </c>
      <c r="H29" s="28">
        <f>(Traffic!H29*'Kanäle'!$C$22)*'Kanäle'!$C$2</f>
        <v>36000</v>
      </c>
      <c r="I29" s="27">
        <f>(Traffic!I29*'Kanäle'!$C$22)*'Kanäle'!$C$2</f>
        <v>36000</v>
      </c>
      <c r="J29" s="27">
        <f>(Traffic!J29*'Kanäle'!$C$22)*'Kanäle'!$C$2</f>
        <v>36000</v>
      </c>
      <c r="K29" s="27">
        <f>(Traffic!K29*'Kanäle'!$C$22)*'Kanäle'!$C$2</f>
        <v>36000</v>
      </c>
      <c r="L29" s="28">
        <f>(Traffic!L29*'Kanäle'!$C$22)*'Kanäle'!$C$2</f>
        <v>36000</v>
      </c>
      <c r="M29" s="28">
        <f>(Traffic!M29*'Kanäle'!$C$22)*'Kanäle'!$C$2</f>
        <v>36000</v>
      </c>
      <c r="N29" s="28">
        <f>(Traffic!N29*'Kanäle'!$C$22)*'Kanäle'!$C$2</f>
        <v>36000</v>
      </c>
      <c r="O29" s="25">
        <f t="shared" si="5"/>
        <v>432000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6.5" customHeight="1">
      <c r="A30" s="51"/>
      <c r="B30" s="26" t="s">
        <v>25</v>
      </c>
      <c r="C30" s="27">
        <f>(Traffic!C30*'Kanäle'!$C$27)*'Kanäle'!$C$2</f>
        <v>18000</v>
      </c>
      <c r="D30" s="27">
        <f>(Traffic!D30*'Kanäle'!$C$27)*'Kanäle'!$C$2</f>
        <v>18000</v>
      </c>
      <c r="E30" s="27">
        <f>(Traffic!E30*'Kanäle'!$C$27)*'Kanäle'!$C$2</f>
        <v>18000</v>
      </c>
      <c r="F30" s="28">
        <f>(Traffic!F30*'Kanäle'!$C$27)*'Kanäle'!$C$2</f>
        <v>18000</v>
      </c>
      <c r="G30" s="28">
        <f>(Traffic!G30*'Kanäle'!$C$27)*'Kanäle'!$C$2</f>
        <v>18000</v>
      </c>
      <c r="H30" s="28">
        <f>(Traffic!H30*'Kanäle'!$C$27)*'Kanäle'!$C$2</f>
        <v>18000</v>
      </c>
      <c r="I30" s="27">
        <f>(Traffic!I30*'Kanäle'!$C$27)*'Kanäle'!$C$2</f>
        <v>18000</v>
      </c>
      <c r="J30" s="27">
        <f>(Traffic!J30*'Kanäle'!$C$27)*'Kanäle'!$C$2</f>
        <v>18000</v>
      </c>
      <c r="K30" s="27">
        <f>(Traffic!K30*'Kanäle'!$C$27)*'Kanäle'!$C$2</f>
        <v>18000</v>
      </c>
      <c r="L30" s="28">
        <f>(Traffic!L30*'Kanäle'!$C$27)*'Kanäle'!$C$2</f>
        <v>18000</v>
      </c>
      <c r="M30" s="28">
        <f>(Traffic!M30*'Kanäle'!$C$27)*'Kanäle'!$C$2</f>
        <v>18000</v>
      </c>
      <c r="N30" s="28">
        <f>(Traffic!N30*'Kanäle'!$C$27)*'Kanäle'!$C$2</f>
        <v>18000</v>
      </c>
      <c r="O30" s="25">
        <f t="shared" si="5"/>
        <v>216000</v>
      </c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6.5" customHeight="1">
      <c r="A31" s="51"/>
      <c r="B31" s="26" t="s">
        <v>26</v>
      </c>
      <c r="C31" s="27">
        <f>(Traffic!C31*'Kanäle'!$C$32)*'Kanäle'!$C$2</f>
        <v>1639.127731</v>
      </c>
      <c r="D31" s="27">
        <f>(Traffic!D31*'Kanäle'!$C$32)*'Kanäle'!$C$2</f>
        <v>1803.040504</v>
      </c>
      <c r="E31" s="27">
        <f>(Traffic!E31*'Kanäle'!$C$32)*'Kanäle'!$C$2</f>
        <v>1983.344555</v>
      </c>
      <c r="F31" s="28">
        <f>(Traffic!F31*'Kanäle'!$C$32)*'Kanäle'!$C$2</f>
        <v>2181.67901</v>
      </c>
      <c r="G31" s="28">
        <f>(Traffic!G31*'Kanäle'!$C$32)*'Kanäle'!$C$2</f>
        <v>2399.846911</v>
      </c>
      <c r="H31" s="28">
        <f>(Traffic!H31*'Kanäle'!$C$32)*'Kanäle'!$C$2</f>
        <v>2639.831603</v>
      </c>
      <c r="I31" s="27">
        <f>(Traffic!I31*'Kanäle'!$C$32)*'Kanäle'!$C$2</f>
        <v>2903.814763</v>
      </c>
      <c r="J31" s="27">
        <f>(Traffic!J31*'Kanäle'!$C$32)*'Kanäle'!$C$2</f>
        <v>3194.196239</v>
      </c>
      <c r="K31" s="27">
        <f>(Traffic!K31*'Kanäle'!$C$32)*'Kanäle'!$C$2</f>
        <v>3513.615863</v>
      </c>
      <c r="L31" s="28">
        <f>(Traffic!L31*'Kanäle'!$C$32)*'Kanäle'!$C$2</f>
        <v>3864.977449</v>
      </c>
      <c r="M31" s="28">
        <f>(Traffic!M31*'Kanäle'!$C$32)*'Kanäle'!$C$2</f>
        <v>4251.475194</v>
      </c>
      <c r="N31" s="28">
        <f>(Traffic!N31*'Kanäle'!$C$32)*'Kanäle'!$C$2</f>
        <v>4676.622714</v>
      </c>
      <c r="O31" s="25">
        <f t="shared" si="5"/>
        <v>35051.57254</v>
      </c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6.5" customHeight="1">
      <c r="A32" s="51"/>
      <c r="B32" s="26" t="s">
        <v>27</v>
      </c>
      <c r="C32" s="27">
        <f>(Traffic!C32*'Kanäle'!$C$36)*'Kanäle'!$C$2</f>
        <v>8140.696716</v>
      </c>
      <c r="D32" s="27">
        <f>(Traffic!D32*'Kanäle'!$C$36)*'Kanäle'!$C$2</f>
        <v>13301.16119</v>
      </c>
      <c r="E32" s="27">
        <f>(Traffic!E32*'Kanäle'!$C$36)*'Kanäle'!$C$2</f>
        <v>20461.62567</v>
      </c>
      <c r="F32" s="28">
        <f>(Traffic!F32*'Kanäle'!$C$36)*'Kanäle'!$C$2</f>
        <v>27222.09015</v>
      </c>
      <c r="G32" s="28">
        <f>(Traffic!G32*'Kanäle'!$C$36)*'Kanäle'!$C$2</f>
        <v>33582.55463</v>
      </c>
      <c r="H32" s="28">
        <f>(Traffic!H32*'Kanäle'!$C$36)*'Kanäle'!$C$2</f>
        <v>41943.0191</v>
      </c>
      <c r="I32" s="27">
        <f>(Traffic!I32*'Kanäle'!$C$36)*'Kanäle'!$C$2</f>
        <v>49903.48358</v>
      </c>
      <c r="J32" s="27">
        <f>(Traffic!J32*'Kanäle'!$C$36)*'Kanäle'!$C$2</f>
        <v>57463.94806</v>
      </c>
      <c r="K32" s="27">
        <f>(Traffic!K32*'Kanäle'!$C$36)*'Kanäle'!$C$2</f>
        <v>67024.41254</v>
      </c>
      <c r="L32" s="28">
        <f>(Traffic!L32*'Kanäle'!$C$36)*'Kanäle'!$C$2</f>
        <v>76184.87701</v>
      </c>
      <c r="M32" s="28">
        <f>(Traffic!M32*'Kanäle'!$C$36)*'Kanäle'!$C$2</f>
        <v>84945.34149</v>
      </c>
      <c r="N32" s="28">
        <f>(Traffic!N32*'Kanäle'!$C$36)*'Kanäle'!$C$2</f>
        <v>95705.80597</v>
      </c>
      <c r="O32" s="25">
        <f t="shared" si="5"/>
        <v>575879.0161</v>
      </c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6.5" customHeight="1">
      <c r="A33" s="51"/>
      <c r="B33" s="29" t="s">
        <v>28</v>
      </c>
      <c r="C33" s="27">
        <f>(Traffic!C33*'Kanäle'!$B$2)*'Kanäle'!$C$2</f>
        <v>16940.02213</v>
      </c>
      <c r="D33" s="27">
        <f>(Traffic!D33*'Kanäle'!$B$2)*'Kanäle'!$C$2</f>
        <v>17567.96911</v>
      </c>
      <c r="E33" s="27">
        <f>(Traffic!E33*'Kanäle'!$B$2)*'Kanäle'!$C$2</f>
        <v>20200.00731</v>
      </c>
      <c r="F33" s="28">
        <f>(Traffic!F33*'Kanäle'!$B$2)*'Kanäle'!$C$2</f>
        <v>21061.54585</v>
      </c>
      <c r="G33" s="28">
        <f>(Traffic!G33*'Kanäle'!$B$2)*'Kanäle'!$C$2</f>
        <v>21958.53476</v>
      </c>
      <c r="H33" s="28">
        <f>(Traffic!H33*'Kanäle'!$B$2)*'Kanäle'!$C$2</f>
        <v>24877.51908</v>
      </c>
      <c r="I33" s="27">
        <f>(Traffic!I33*'Kanäle'!$B$2)*'Kanäle'!$C$2</f>
        <v>26045.69834</v>
      </c>
      <c r="J33" s="27">
        <f>(Traffic!J33*'Kanäle'!$B$2)*'Kanäle'!$C$2</f>
        <v>27270.99205</v>
      </c>
      <c r="K33" s="27">
        <f>(Traffic!K33*'Kanäle'!$B$2)*'Kanäle'!$C$2</f>
        <v>30542.11165</v>
      </c>
      <c r="L33" s="28">
        <f>(Traffic!L33*'Kanäle'!$B$2)*'Kanäle'!$C$2</f>
        <v>32088.63972</v>
      </c>
      <c r="M33" s="28">
        <f>(Traffic!M33*'Kanäle'!$B$2)*'Kanäle'!$C$2</f>
        <v>33721.11711</v>
      </c>
      <c r="N33" s="28">
        <f>(Traffic!N33*'Kanäle'!$B$2)*'Kanäle'!$C$2</f>
        <v>37431.13876</v>
      </c>
      <c r="O33" s="25">
        <f t="shared" si="5"/>
        <v>309705.2959</v>
      </c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6.5" customHeight="1">
      <c r="A34" s="51"/>
      <c r="B34" s="61" t="s">
        <v>32</v>
      </c>
      <c r="C34" s="31">
        <f t="shared" ref="C34:O34" si="6">SUM(C25:C33)</f>
        <v>221498.3233</v>
      </c>
      <c r="D34" s="31">
        <f t="shared" si="6"/>
        <v>228368.0307</v>
      </c>
      <c r="E34" s="31">
        <f t="shared" si="6"/>
        <v>263749.959</v>
      </c>
      <c r="F34" s="31">
        <f t="shared" si="6"/>
        <v>273520.3301</v>
      </c>
      <c r="G34" s="31">
        <f t="shared" si="6"/>
        <v>283540.9884</v>
      </c>
      <c r="H34" s="31">
        <f t="shared" si="6"/>
        <v>322259.9626</v>
      </c>
      <c r="I34" s="31">
        <f t="shared" si="6"/>
        <v>335572.0843</v>
      </c>
      <c r="J34" s="31">
        <f t="shared" si="6"/>
        <v>349359.6683</v>
      </c>
      <c r="K34" s="31">
        <f t="shared" si="6"/>
        <v>392093.2607</v>
      </c>
      <c r="L34" s="31">
        <f t="shared" si="6"/>
        <v>409692.4624</v>
      </c>
      <c r="M34" s="31">
        <f t="shared" si="6"/>
        <v>428066.8344</v>
      </c>
      <c r="N34" s="31">
        <f t="shared" si="6"/>
        <v>475716.8936</v>
      </c>
      <c r="O34" s="32">
        <f t="shared" si="6"/>
        <v>3983438.798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6.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6.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6.5" customHeight="1">
      <c r="A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6.5" customHeight="1">
      <c r="A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6.5" customHeight="1">
      <c r="A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6.5" customHeight="1">
      <c r="A40" s="51"/>
      <c r="B40" s="9">
        <v>2024.0</v>
      </c>
      <c r="C40" s="64" t="s">
        <v>2</v>
      </c>
      <c r="D40" s="65"/>
      <c r="E40" s="65"/>
      <c r="F40" s="66" t="s">
        <v>3</v>
      </c>
      <c r="G40" s="67"/>
      <c r="H40" s="67"/>
      <c r="I40" s="64" t="s">
        <v>4</v>
      </c>
      <c r="J40" s="65"/>
      <c r="K40" s="65"/>
      <c r="L40" s="66" t="s">
        <v>5</v>
      </c>
      <c r="M40" s="67"/>
      <c r="N40" s="67"/>
      <c r="O40" s="70" t="s">
        <v>39</v>
      </c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6.5" customHeight="1">
      <c r="A41" s="51"/>
      <c r="B41" s="14"/>
      <c r="C41" s="60" t="s">
        <v>7</v>
      </c>
      <c r="D41" s="31" t="s">
        <v>8</v>
      </c>
      <c r="E41" s="31" t="s">
        <v>9</v>
      </c>
      <c r="F41" s="61" t="s">
        <v>10</v>
      </c>
      <c r="G41" s="62" t="s">
        <v>11</v>
      </c>
      <c r="H41" s="62" t="s">
        <v>12</v>
      </c>
      <c r="I41" s="60" t="s">
        <v>13</v>
      </c>
      <c r="J41" s="31" t="s">
        <v>14</v>
      </c>
      <c r="K41" s="31" t="s">
        <v>15</v>
      </c>
      <c r="L41" s="61" t="s">
        <v>16</v>
      </c>
      <c r="M41" s="62" t="s">
        <v>17</v>
      </c>
      <c r="N41" s="62" t="s">
        <v>18</v>
      </c>
      <c r="O41" s="69" t="s">
        <v>32</v>
      </c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6.5" customHeight="1">
      <c r="A42" s="51"/>
      <c r="B42" s="63" t="s">
        <v>19</v>
      </c>
      <c r="C42" s="21">
        <f t="shared" ref="C42:N42" si="7">SUM(C43:C51)</f>
        <v>499707.6384</v>
      </c>
      <c r="D42" s="21">
        <f t="shared" si="7"/>
        <v>523091.2781</v>
      </c>
      <c r="E42" s="21">
        <f t="shared" si="7"/>
        <v>576122.5319</v>
      </c>
      <c r="F42" s="23">
        <f t="shared" si="7"/>
        <v>604791.1612</v>
      </c>
      <c r="G42" s="23">
        <f t="shared" si="7"/>
        <v>635083.9035</v>
      </c>
      <c r="H42" s="23">
        <f t="shared" si="7"/>
        <v>695586.17</v>
      </c>
      <c r="I42" s="21">
        <f t="shared" si="7"/>
        <v>732343.9133</v>
      </c>
      <c r="J42" s="21">
        <f t="shared" si="7"/>
        <v>771405.6809</v>
      </c>
      <c r="K42" s="21">
        <f t="shared" si="7"/>
        <v>841424.8754</v>
      </c>
      <c r="L42" s="23">
        <f t="shared" si="7"/>
        <v>888522.2395</v>
      </c>
      <c r="M42" s="23">
        <f t="shared" si="7"/>
        <v>938828.59</v>
      </c>
      <c r="N42" s="23">
        <f t="shared" si="7"/>
        <v>1021087.826</v>
      </c>
      <c r="O42" s="25">
        <f t="shared" ref="O42:O51" si="8">SUM(C42:N42)</f>
        <v>8727995.808</v>
      </c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6.5" customHeight="1">
      <c r="A43" s="51"/>
      <c r="B43" s="26" t="s">
        <v>37</v>
      </c>
      <c r="C43" s="27">
        <f>(Traffic!C43*'Kanäle'!$C$5)*'Kanäle'!$C$2</f>
        <v>154328.5496</v>
      </c>
      <c r="D43" s="27">
        <f>(Traffic!D43*'Kanäle'!$C$5)*'Kanäle'!$C$2</f>
        <v>169761.4045</v>
      </c>
      <c r="E43" s="27">
        <f>(Traffic!E43*'Kanäle'!$C$5)*'Kanäle'!$C$2</f>
        <v>186737.545</v>
      </c>
      <c r="F43" s="28">
        <f>(Traffic!F43*'Kanäle'!$C$5)*'Kanäle'!$C$2</f>
        <v>205411.2995</v>
      </c>
      <c r="G43" s="28">
        <f>(Traffic!G43*'Kanäle'!$C$5)*'Kanäle'!$C$2</f>
        <v>225952.4294</v>
      </c>
      <c r="H43" s="28">
        <f>(Traffic!H43*'Kanäle'!$C$5)*'Kanäle'!$C$2</f>
        <v>248547.6723</v>
      </c>
      <c r="I43" s="27">
        <f>(Traffic!I43*'Kanäle'!$C$5)*'Kanäle'!$C$2</f>
        <v>273402.4396</v>
      </c>
      <c r="J43" s="27">
        <f>(Traffic!J43*'Kanäle'!$C$5)*'Kanäle'!$C$2</f>
        <v>300742.6835</v>
      </c>
      <c r="K43" s="27">
        <f>(Traffic!K43*'Kanäle'!$C$5)*'Kanäle'!$C$2</f>
        <v>330816.9519</v>
      </c>
      <c r="L43" s="28">
        <f>(Traffic!L43*'Kanäle'!$C$5)*'Kanäle'!$C$2</f>
        <v>363898.6471</v>
      </c>
      <c r="M43" s="28">
        <f>(Traffic!M43*'Kanäle'!$C$5)*'Kanäle'!$C$2</f>
        <v>400288.5118</v>
      </c>
      <c r="N43" s="28">
        <f>(Traffic!N43*'Kanäle'!$C$5)*'Kanäle'!$C$2</f>
        <v>440317.363</v>
      </c>
      <c r="O43" s="25">
        <f t="shared" si="8"/>
        <v>3300205.497</v>
      </c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6.5" customHeight="1">
      <c r="A44" s="51"/>
      <c r="B44" s="26"/>
      <c r="C44" s="27">
        <v>0.0</v>
      </c>
      <c r="D44" s="27">
        <v>0.0</v>
      </c>
      <c r="E44" s="27">
        <v>0.0</v>
      </c>
      <c r="F44" s="28">
        <v>0.0</v>
      </c>
      <c r="G44" s="28">
        <v>0.0</v>
      </c>
      <c r="H44" s="28">
        <v>0.0</v>
      </c>
      <c r="I44" s="27">
        <v>0.0</v>
      </c>
      <c r="J44" s="27">
        <v>0.0</v>
      </c>
      <c r="K44" s="27">
        <v>0.0</v>
      </c>
      <c r="L44" s="28">
        <v>0.0</v>
      </c>
      <c r="M44" s="28">
        <v>0.0</v>
      </c>
      <c r="N44" s="28">
        <v>0.0</v>
      </c>
      <c r="O44" s="25">
        <f t="shared" si="8"/>
        <v>0</v>
      </c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6.5" customHeight="1">
      <c r="A45" s="51"/>
      <c r="B45" s="26" t="s">
        <v>22</v>
      </c>
      <c r="C45" s="27">
        <f>(Traffic!C45*'Kanäle'!$C$13)*'Kanäle'!$C$2</f>
        <v>103604.6448</v>
      </c>
      <c r="D45" s="27">
        <f>(Traffic!D45*'Kanäle'!$C$13)*'Kanäle'!$C$2</f>
        <v>99604.64478</v>
      </c>
      <c r="E45" s="27">
        <f>(Traffic!E45*'Kanäle'!$C$13)*'Kanäle'!$C$2</f>
        <v>119604.6448</v>
      </c>
      <c r="F45" s="28">
        <f>(Traffic!F45*'Kanäle'!$C$13)*'Kanäle'!$C$2</f>
        <v>115604.6448</v>
      </c>
      <c r="G45" s="28">
        <f>(Traffic!G45*'Kanäle'!$C$13)*'Kanäle'!$C$2</f>
        <v>111604.6448</v>
      </c>
      <c r="H45" s="28">
        <f>(Traffic!H45*'Kanäle'!$C$13)*'Kanäle'!$C$2</f>
        <v>131604.6448</v>
      </c>
      <c r="I45" s="27">
        <f>(Traffic!I45*'Kanäle'!$C$13)*'Kanäle'!$C$2</f>
        <v>127604.6448</v>
      </c>
      <c r="J45" s="27">
        <f>(Traffic!J45*'Kanäle'!$C$13)*'Kanäle'!$C$2</f>
        <v>123604.6448</v>
      </c>
      <c r="K45" s="27">
        <f>(Traffic!K45*'Kanäle'!$C$13)*'Kanäle'!$C$2</f>
        <v>143604.6448</v>
      </c>
      <c r="L45" s="28">
        <f>(Traffic!L45*'Kanäle'!$C$13)*'Kanäle'!$C$2</f>
        <v>139604.6448</v>
      </c>
      <c r="M45" s="28">
        <f>(Traffic!M45*'Kanäle'!$C$13)*'Kanäle'!$C$2</f>
        <v>135604.6448</v>
      </c>
      <c r="N45" s="28">
        <f>(Traffic!N45*'Kanäle'!$C$13)*'Kanäle'!$C$2</f>
        <v>155604.6448</v>
      </c>
      <c r="O45" s="25">
        <f t="shared" si="8"/>
        <v>1507255.737</v>
      </c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6.5" customHeight="1">
      <c r="A46" s="51"/>
      <c r="B46" s="26" t="s">
        <v>23</v>
      </c>
      <c r="C46" s="27">
        <f>(Traffic!C46*'Kanäle'!$C$17)*'Kanäle'!$C$2</f>
        <v>36000</v>
      </c>
      <c r="D46" s="27">
        <f>(Traffic!D46*'Kanäle'!$C$17)*'Kanäle'!$C$2</f>
        <v>36000</v>
      </c>
      <c r="E46" s="27">
        <f>(Traffic!E46*'Kanäle'!$C$17)*'Kanäle'!$C$2</f>
        <v>36000</v>
      </c>
      <c r="F46" s="28">
        <f>(Traffic!F46*'Kanäle'!$C$17)*'Kanäle'!$C$2</f>
        <v>36000</v>
      </c>
      <c r="G46" s="28">
        <f>(Traffic!G46*'Kanäle'!$C$17)*'Kanäle'!$C$2</f>
        <v>36000</v>
      </c>
      <c r="H46" s="28">
        <f>(Traffic!H46*'Kanäle'!$C$17)*'Kanäle'!$C$2</f>
        <v>36000</v>
      </c>
      <c r="I46" s="27">
        <f>(Traffic!I46*'Kanäle'!$C$17)*'Kanäle'!$C$2</f>
        <v>36000</v>
      </c>
      <c r="J46" s="27">
        <f>(Traffic!J46*'Kanäle'!$C$17)*'Kanäle'!$C$2</f>
        <v>36000</v>
      </c>
      <c r="K46" s="27">
        <f>(Traffic!K46*'Kanäle'!$C$17)*'Kanäle'!$C$2</f>
        <v>36000</v>
      </c>
      <c r="L46" s="28">
        <f>(Traffic!L46*'Kanäle'!$C$17)*'Kanäle'!$C$2</f>
        <v>36000</v>
      </c>
      <c r="M46" s="28">
        <f>(Traffic!M46*'Kanäle'!$C$17)*'Kanäle'!$C$2</f>
        <v>36000</v>
      </c>
      <c r="N46" s="28">
        <f>(Traffic!N46*'Kanäle'!$C$17)*'Kanäle'!$C$2</f>
        <v>36000</v>
      </c>
      <c r="O46" s="25">
        <f t="shared" si="8"/>
        <v>432000</v>
      </c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6.5" customHeight="1">
      <c r="A47" s="51"/>
      <c r="B47" s="26" t="s">
        <v>24</v>
      </c>
      <c r="C47" s="27">
        <f>(Traffic!C47*'Kanäle'!$C$22)*'Kanäle'!$C$2</f>
        <v>36000</v>
      </c>
      <c r="D47" s="27">
        <f>(Traffic!D47*'Kanäle'!$C$22)*'Kanäle'!$C$2</f>
        <v>36000</v>
      </c>
      <c r="E47" s="27">
        <f>(Traffic!E47*'Kanäle'!$C$22)*'Kanäle'!$C$2</f>
        <v>36000</v>
      </c>
      <c r="F47" s="28">
        <f>(Traffic!F47*'Kanäle'!$C$22)*'Kanäle'!$C$2</f>
        <v>36000</v>
      </c>
      <c r="G47" s="28">
        <f>(Traffic!G47*'Kanäle'!$C$22)*'Kanäle'!$C$2</f>
        <v>36000</v>
      </c>
      <c r="H47" s="28">
        <f>(Traffic!H47*'Kanäle'!$C$22)*'Kanäle'!$C$2</f>
        <v>36000</v>
      </c>
      <c r="I47" s="27">
        <f>(Traffic!I47*'Kanäle'!$C$22)*'Kanäle'!$C$2</f>
        <v>36000</v>
      </c>
      <c r="J47" s="27">
        <f>(Traffic!J47*'Kanäle'!$C$22)*'Kanäle'!$C$2</f>
        <v>36000</v>
      </c>
      <c r="K47" s="27">
        <f>(Traffic!K47*'Kanäle'!$C$22)*'Kanäle'!$C$2</f>
        <v>36000</v>
      </c>
      <c r="L47" s="28">
        <f>(Traffic!L47*'Kanäle'!$C$22)*'Kanäle'!$C$2</f>
        <v>36000</v>
      </c>
      <c r="M47" s="28">
        <f>(Traffic!M47*'Kanäle'!$C$22)*'Kanäle'!$C$2</f>
        <v>36000</v>
      </c>
      <c r="N47" s="28">
        <f>(Traffic!N47*'Kanäle'!$C$22)*'Kanäle'!$C$2</f>
        <v>36000</v>
      </c>
      <c r="O47" s="25">
        <f t="shared" si="8"/>
        <v>432000</v>
      </c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6.5" customHeight="1">
      <c r="A48" s="51"/>
      <c r="B48" s="26" t="s">
        <v>25</v>
      </c>
      <c r="C48" s="27">
        <f>(Traffic!C48*'Kanäle'!$C$27)*'Kanäle'!$C$2</f>
        <v>18000</v>
      </c>
      <c r="D48" s="27">
        <f>(Traffic!D48*'Kanäle'!$C$27)*'Kanäle'!$C$2</f>
        <v>18000</v>
      </c>
      <c r="E48" s="27">
        <f>(Traffic!E48*'Kanäle'!$C$27)*'Kanäle'!$C$2</f>
        <v>18000</v>
      </c>
      <c r="F48" s="28">
        <f>(Traffic!F48*'Kanäle'!$C$27)*'Kanäle'!$C$2</f>
        <v>18000</v>
      </c>
      <c r="G48" s="28">
        <f>(Traffic!G48*'Kanäle'!$C$27)*'Kanäle'!$C$2</f>
        <v>18000</v>
      </c>
      <c r="H48" s="28">
        <f>(Traffic!H48*'Kanäle'!$C$27)*'Kanäle'!$C$2</f>
        <v>18000</v>
      </c>
      <c r="I48" s="27">
        <f>(Traffic!I48*'Kanäle'!$C$27)*'Kanäle'!$C$2</f>
        <v>18000</v>
      </c>
      <c r="J48" s="27">
        <f>(Traffic!J48*'Kanäle'!$C$27)*'Kanäle'!$C$2</f>
        <v>18000</v>
      </c>
      <c r="K48" s="27">
        <f>(Traffic!K48*'Kanäle'!$C$27)*'Kanäle'!$C$2</f>
        <v>18000</v>
      </c>
      <c r="L48" s="28">
        <f>(Traffic!L48*'Kanäle'!$C$27)*'Kanäle'!$C$2</f>
        <v>18000</v>
      </c>
      <c r="M48" s="28">
        <f>(Traffic!M48*'Kanäle'!$C$27)*'Kanäle'!$C$2</f>
        <v>18000</v>
      </c>
      <c r="N48" s="28">
        <f>(Traffic!N48*'Kanäle'!$C$27)*'Kanäle'!$C$2</f>
        <v>18000</v>
      </c>
      <c r="O48" s="25">
        <f t="shared" si="8"/>
        <v>216000</v>
      </c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6.5" customHeight="1">
      <c r="A49" s="51"/>
      <c r="B49" s="26" t="s">
        <v>26</v>
      </c>
      <c r="C49" s="27">
        <f>(Traffic!C49*'Kanäle'!$C$32)*'Kanäle'!$C$2</f>
        <v>6000</v>
      </c>
      <c r="D49" s="27">
        <f>(Traffic!D49*'Kanäle'!$C$32)*'Kanäle'!$C$2</f>
        <v>6000</v>
      </c>
      <c r="E49" s="27">
        <f>(Traffic!E49*'Kanäle'!$C$32)*'Kanäle'!$C$2</f>
        <v>6000</v>
      </c>
      <c r="F49" s="28">
        <f>(Traffic!F49*'Kanäle'!$C$32)*'Kanäle'!$C$2</f>
        <v>6000</v>
      </c>
      <c r="G49" s="28">
        <f>(Traffic!G49*'Kanäle'!$C$32)*'Kanäle'!$C$2</f>
        <v>6000</v>
      </c>
      <c r="H49" s="28">
        <f>(Traffic!H49*'Kanäle'!$C$32)*'Kanäle'!$C$2</f>
        <v>6000</v>
      </c>
      <c r="I49" s="27">
        <f>(Traffic!I49*'Kanäle'!$C$32)*'Kanäle'!$C$2</f>
        <v>6000</v>
      </c>
      <c r="J49" s="27">
        <f>(Traffic!J49*'Kanäle'!$C$32)*'Kanäle'!$C$2</f>
        <v>6000</v>
      </c>
      <c r="K49" s="27">
        <f>(Traffic!K49*'Kanäle'!$C$32)*'Kanäle'!$C$2</f>
        <v>6000</v>
      </c>
      <c r="L49" s="28">
        <f>(Traffic!L49*'Kanäle'!$C$32)*'Kanäle'!$C$2</f>
        <v>6000</v>
      </c>
      <c r="M49" s="28">
        <f>(Traffic!M49*'Kanäle'!$C$32)*'Kanäle'!$C$2</f>
        <v>6000</v>
      </c>
      <c r="N49" s="28">
        <f>(Traffic!N49*'Kanäle'!$C$32)*'Kanäle'!$C$2</f>
        <v>6000</v>
      </c>
      <c r="O49" s="25">
        <f t="shared" si="8"/>
        <v>72000</v>
      </c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6.5" customHeight="1">
      <c r="A50" s="51"/>
      <c r="B50" s="26" t="s">
        <v>27</v>
      </c>
      <c r="C50" s="27">
        <f>(Traffic!C50*'Kanäle'!$C$36)*'Kanäle'!$C$2</f>
        <v>106066.2704</v>
      </c>
      <c r="D50" s="27">
        <f>(Traffic!D50*'Kanäle'!$C$36)*'Kanäle'!$C$2</f>
        <v>116026.7349</v>
      </c>
      <c r="E50" s="27">
        <f>(Traffic!E50*'Kanäle'!$C$36)*'Kanäle'!$C$2</f>
        <v>127987.1994</v>
      </c>
      <c r="F50" s="28">
        <f>(Traffic!F50*'Kanäle'!$C$36)*'Kanäle'!$C$2</f>
        <v>139547.6639</v>
      </c>
      <c r="G50" s="28">
        <f>(Traffic!G50*'Kanäle'!$C$36)*'Kanäle'!$C$2</f>
        <v>150708.1284</v>
      </c>
      <c r="H50" s="28">
        <f>(Traffic!H50*'Kanäle'!$C$36)*'Kanäle'!$C$2</f>
        <v>163868.5928</v>
      </c>
      <c r="I50" s="27">
        <f>(Traffic!I50*'Kanäle'!$C$36)*'Kanäle'!$C$2</f>
        <v>176629.0573</v>
      </c>
      <c r="J50" s="27">
        <f>(Traffic!J50*'Kanäle'!$C$36)*'Kanäle'!$C$2</f>
        <v>188989.5218</v>
      </c>
      <c r="K50" s="27">
        <f>(Traffic!K50*'Kanäle'!$C$36)*'Kanäle'!$C$2</f>
        <v>203349.9863</v>
      </c>
      <c r="L50" s="28">
        <f>(Traffic!L50*'Kanäle'!$C$36)*'Kanäle'!$C$2</f>
        <v>217310.4507</v>
      </c>
      <c r="M50" s="28">
        <f>(Traffic!M50*'Kanäle'!$C$36)*'Kanäle'!$C$2</f>
        <v>230870.9152</v>
      </c>
      <c r="N50" s="28">
        <f>(Traffic!N50*'Kanäle'!$C$36)*'Kanäle'!$C$2</f>
        <v>246431.3797</v>
      </c>
      <c r="O50" s="25">
        <f t="shared" si="8"/>
        <v>2067785.901</v>
      </c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6.5" customHeight="1">
      <c r="A51" s="51"/>
      <c r="B51" s="29" t="s">
        <v>28</v>
      </c>
      <c r="C51" s="27">
        <f>(Traffic!C51*'Kanäle'!$B$2)*'Kanäle'!$C$2</f>
        <v>39708.1736</v>
      </c>
      <c r="D51" s="27">
        <f>(Traffic!D51*'Kanäle'!$B$2)*'Kanäle'!$C$2</f>
        <v>41698.49393</v>
      </c>
      <c r="E51" s="27">
        <f>(Traffic!E51*'Kanäle'!$B$2)*'Kanäle'!$C$2</f>
        <v>45793.14281</v>
      </c>
      <c r="F51" s="28">
        <f>(Traffic!F51*'Kanäle'!$B$2)*'Kanäle'!$C$2</f>
        <v>48227.55309</v>
      </c>
      <c r="G51" s="28">
        <f>(Traffic!G51*'Kanäle'!$B$2)*'Kanäle'!$C$2</f>
        <v>50818.70092</v>
      </c>
      <c r="H51" s="28">
        <f>(Traffic!H51*'Kanäle'!$B$2)*'Kanäle'!$C$2</f>
        <v>55565.26005</v>
      </c>
      <c r="I51" s="27">
        <f>(Traffic!I51*'Kanäle'!$B$2)*'Kanäle'!$C$2</f>
        <v>58707.77161</v>
      </c>
      <c r="J51" s="27">
        <f>(Traffic!J51*'Kanäle'!$B$2)*'Kanäle'!$C$2</f>
        <v>62068.83085</v>
      </c>
      <c r="K51" s="27">
        <f>(Traffic!K51*'Kanäle'!$B$2)*'Kanäle'!$C$2</f>
        <v>67653.29252</v>
      </c>
      <c r="L51" s="28">
        <f>(Traffic!L51*'Kanäle'!$B$2)*'Kanäle'!$C$2</f>
        <v>71708.49687</v>
      </c>
      <c r="M51" s="28">
        <f>(Traffic!M51*'Kanäle'!$B$2)*'Kanäle'!$C$2</f>
        <v>76064.51818</v>
      </c>
      <c r="N51" s="28">
        <f>(Traffic!N51*'Kanäle'!$B$2)*'Kanäle'!$C$2</f>
        <v>82734.43813</v>
      </c>
      <c r="O51" s="25">
        <f t="shared" si="8"/>
        <v>700748.6726</v>
      </c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6.5" customHeight="1">
      <c r="A52" s="51"/>
      <c r="B52" s="61" t="s">
        <v>32</v>
      </c>
      <c r="C52" s="31">
        <f t="shared" ref="C52:O52" si="9">SUM(C43:C51)</f>
        <v>499707.6384</v>
      </c>
      <c r="D52" s="31">
        <f t="shared" si="9"/>
        <v>523091.2781</v>
      </c>
      <c r="E52" s="31">
        <f t="shared" si="9"/>
        <v>576122.5319</v>
      </c>
      <c r="F52" s="31">
        <f t="shared" si="9"/>
        <v>604791.1612</v>
      </c>
      <c r="G52" s="31">
        <f t="shared" si="9"/>
        <v>635083.9035</v>
      </c>
      <c r="H52" s="31">
        <f t="shared" si="9"/>
        <v>695586.17</v>
      </c>
      <c r="I52" s="31">
        <f t="shared" si="9"/>
        <v>732343.9133</v>
      </c>
      <c r="J52" s="31">
        <f t="shared" si="9"/>
        <v>771405.6809</v>
      </c>
      <c r="K52" s="31">
        <f t="shared" si="9"/>
        <v>841424.8754</v>
      </c>
      <c r="L52" s="31">
        <f t="shared" si="9"/>
        <v>888522.2395</v>
      </c>
      <c r="M52" s="31">
        <f t="shared" si="9"/>
        <v>938828.59</v>
      </c>
      <c r="N52" s="31">
        <f t="shared" si="9"/>
        <v>1021087.826</v>
      </c>
      <c r="O52" s="32">
        <f t="shared" si="9"/>
        <v>8727995.808</v>
      </c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6.5" customHeight="1">
      <c r="A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6.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6.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6.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6.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6.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6.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6.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6.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6.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6.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6.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6.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6.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6.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6.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6.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6.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6.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6.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6.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6.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6.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6.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6.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6.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6.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6.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6.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6.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6.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6.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6.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6.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6.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6.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6.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6.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6.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6.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6.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6.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6.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6.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6.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6.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6.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6.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6.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6.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6.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6.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6.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6.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6.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6.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6.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6.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6.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6.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6.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6.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6.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6.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6.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6.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6.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6.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6.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6.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6.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6.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6.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6.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6.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6.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6.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6.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6.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6.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6.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6.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6.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6.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6.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6.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6.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6.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6.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6.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6.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6.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6.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6.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6.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6.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6.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6.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6.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6.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6.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6.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6.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6.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6.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6.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6.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6.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6.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6.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6.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6.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6.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6.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6.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6.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6.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6.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6.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6.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6.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6.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6.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6.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6.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6.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6.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6.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6.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6.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6.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6.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6.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6.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6.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6.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6.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6.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6.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6.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6.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6.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6.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6.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6.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6.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6.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6.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6.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6.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6.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6.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6.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6.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6.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6.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6.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6.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6.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6.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6.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6.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6.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6.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6.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6.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6.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6.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6.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6.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6.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6.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6.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6.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6.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6.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6.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6.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6.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6.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6.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6.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6.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6.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6.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6.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6.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6.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6.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6.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6.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6.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6.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6.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6.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6.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6.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6.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6.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6.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6.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6.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6.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6.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6.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6.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6.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6.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6.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6.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6.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6.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6.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6.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6.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6.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6.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6.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6.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6.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6.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6.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6.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6.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6.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6.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6.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6.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6.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6.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6.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6.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6.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6.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6.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6.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6.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6.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6.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6.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6.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6.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6.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6.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6.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6.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6.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6.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6.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6.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6.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6.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6.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6.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6.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6.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6.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6.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6.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6.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6.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6.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6.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6.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6.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6.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6.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6.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6.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6.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6.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6.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6.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6.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6.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6.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6.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6.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6.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6.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6.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6.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6.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6.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6.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6.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6.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6.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6.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6.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6.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6.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6.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6.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6.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6.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6.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6.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6.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6.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6.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6.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6.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6.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6.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6.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6.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6.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6.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6.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6.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6.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6.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6.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6.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6.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6.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6.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6.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6.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6.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6.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6.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6.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6.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6.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6.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6.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6.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6.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6.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6.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6.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6.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6.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6.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6.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6.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6.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6.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6.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6.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6.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6.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6.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6.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6.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6.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6.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6.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6.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6.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6.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6.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6.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6.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6.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6.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6.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6.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6.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6.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6.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6.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6.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6.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6.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6.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6.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6.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6.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6.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6.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6.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6.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6.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6.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6.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6.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6.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6.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6.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6.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6.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6.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6.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6.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6.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6.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6.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6.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6.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6.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6.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6.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6.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6.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6.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6.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6.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6.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6.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6.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6.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6.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6.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6.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6.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6.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6.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6.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6.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6.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6.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6.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6.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6.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6.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6.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6.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6.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6.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6.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6.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6.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6.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6.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6.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6.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6.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6.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6.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6.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6.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6.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6.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6.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6.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6.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6.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6.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6.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6.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6.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6.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6.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6.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6.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6.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6.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6.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6.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6.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6.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6.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6.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6.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6.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6.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6.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6.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6.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6.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6.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6.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6.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6.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6.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6.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6.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6.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6.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6.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6.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6.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6.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6.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6.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6.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6.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6.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6.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6.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6.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6.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6.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6.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6.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6.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6.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6.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6.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6.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6.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6.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6.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6.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6.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6.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6.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6.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6.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6.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6.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6.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6.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6.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6.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6.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6.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6.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6.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6.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6.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6.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6.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6.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6.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6.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6.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6.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6.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6.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6.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6.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6.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6.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6.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6.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6.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6.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6.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6.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6.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6.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6.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6.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6.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6.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6.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6.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6.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6.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6.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6.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6.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6.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6.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6.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6.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6.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6.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6.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6.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6.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6.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6.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6.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6.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6.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6.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6.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6.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6.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6.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6.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6.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6.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6.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6.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6.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6.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6.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6.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6.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6.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6.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6.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6.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6.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6.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6.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6.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6.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6.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6.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6.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6.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6.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6.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6.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6.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6.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6.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6.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6.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6.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6.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6.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6.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6.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6.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6.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6.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6.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6.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6.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6.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6.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6.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6.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6.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6.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6.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6.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6.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6.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6.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6.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6.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6.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6.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6.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6.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6.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6.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6.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6.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6.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6.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6.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6.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6.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6.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6.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6.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6.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6.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6.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6.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6.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6.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6.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6.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6.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6.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6.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6.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6.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6.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6.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6.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6.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6.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6.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6.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6.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6.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6.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6.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6.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6.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6.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6.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6.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6.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6.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6.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6.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6.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6.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6.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6.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6.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6.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6.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6.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6.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6.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6.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6.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6.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6.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6.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6.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6.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6.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6.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6.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6.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6.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6.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6.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6.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6.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6.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6.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6.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6.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6.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6.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6.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6.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6.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6.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6.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6.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6.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6.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6.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6.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6.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6.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6.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6.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6.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6.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6.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6.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6.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6.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6.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6.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6.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6.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6.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6.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6.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6.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6.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6.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6.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6.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6.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6.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6.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6.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6.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6.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6.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6.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6.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6.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6.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6.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6.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6.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6.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6.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6.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6.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6.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6.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6.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6.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6.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6.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6.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6.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6.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6.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6.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6.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6.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6.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6.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6.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6.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6.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6.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6.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6.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6.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6.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6.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6.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6.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6.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6.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6.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6.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6.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6.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6.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6.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6.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6.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6.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6.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6.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6.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6.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6.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6.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6.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6.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6.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6.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6.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6.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6.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6.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6.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6.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6.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6.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6.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6.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6.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6.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6.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6.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6.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6.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6.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6.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6.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6.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6.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6.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6.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6.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6.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6.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6.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6.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6.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6.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6.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6.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6.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6.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6.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6.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6.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6.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6.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6.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6.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6.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6.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6.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6.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6.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6.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6.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6.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6.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6.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6.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6.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6.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6.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6.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6.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6.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6.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6.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6.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6.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6.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6.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6.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6.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6.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6.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6.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6.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6.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6.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6.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6.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6.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6.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6.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6.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6.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6.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6.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6.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6.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6.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6.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6.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6.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6.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6.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6.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6.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6.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6.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6.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6.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6.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6.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6.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6.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6.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6.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6.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6.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6.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6.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6.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6.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6.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6.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6.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6.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6.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6.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6.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6.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6.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6.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6.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6.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6.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6.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6.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6.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6.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6.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6.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6.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6.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6.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6.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6.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6.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6.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6.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6.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6.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6.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6.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6.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6.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6.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</sheetData>
  <mergeCells count="9">
    <mergeCell ref="B22:B23"/>
    <mergeCell ref="B40:B41"/>
    <mergeCell ref="B1:D2"/>
    <mergeCell ref="B4:B5"/>
    <mergeCell ref="C4:E4"/>
    <mergeCell ref="F4:H4"/>
    <mergeCell ref="I4:K4"/>
    <mergeCell ref="L4:N4"/>
    <mergeCell ref="O4:O5"/>
  </mergeCells>
  <printOptions/>
  <pageMargins bottom="0.787401575" footer="0.0" header="0.0" left="0.7" right="0.7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1.33"/>
    <col customWidth="1" min="2" max="2" width="23.78"/>
    <col customWidth="1" min="3" max="14" width="11.33"/>
    <col customWidth="1" min="15" max="15" width="17.11"/>
    <col customWidth="1" min="16" max="16" width="9.44"/>
    <col customWidth="1" min="17" max="26" width="8.33"/>
  </cols>
  <sheetData>
    <row r="1" ht="16.5" customHeight="1">
      <c r="B1" s="2" t="s">
        <v>41</v>
      </c>
    </row>
    <row r="2" ht="16.5" customHeight="1">
      <c r="E2" s="4"/>
      <c r="F2" s="4"/>
      <c r="G2" s="4"/>
      <c r="H2" s="4"/>
      <c r="I2" s="4"/>
      <c r="J2" s="4"/>
      <c r="K2" s="4"/>
      <c r="L2" s="4"/>
      <c r="M2" s="4"/>
      <c r="N2" s="5"/>
      <c r="O2" s="6"/>
    </row>
    <row r="3" ht="16.5" customHeight="1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</row>
    <row r="4" ht="16.5" customHeight="1">
      <c r="B4" s="9">
        <v>2022.0</v>
      </c>
      <c r="C4" s="57" t="s">
        <v>2</v>
      </c>
      <c r="D4" s="11"/>
      <c r="E4" s="11"/>
      <c r="F4" s="58" t="s">
        <v>3</v>
      </c>
      <c r="G4" s="11"/>
      <c r="H4" s="11"/>
      <c r="I4" s="57" t="s">
        <v>4</v>
      </c>
      <c r="J4" s="11"/>
      <c r="K4" s="11"/>
      <c r="L4" s="58" t="s">
        <v>5</v>
      </c>
      <c r="M4" s="11"/>
      <c r="N4" s="11"/>
      <c r="O4" s="59" t="s">
        <v>42</v>
      </c>
    </row>
    <row r="5" ht="16.5" customHeight="1">
      <c r="B5" s="14"/>
      <c r="C5" s="60" t="s">
        <v>7</v>
      </c>
      <c r="D5" s="31" t="s">
        <v>8</v>
      </c>
      <c r="E5" s="31" t="s">
        <v>9</v>
      </c>
      <c r="F5" s="61" t="s">
        <v>10</v>
      </c>
      <c r="G5" s="62" t="s">
        <v>11</v>
      </c>
      <c r="H5" s="62" t="s">
        <v>12</v>
      </c>
      <c r="I5" s="60" t="s">
        <v>13</v>
      </c>
      <c r="J5" s="31" t="s">
        <v>14</v>
      </c>
      <c r="K5" s="31" t="s">
        <v>15</v>
      </c>
      <c r="L5" s="61" t="s">
        <v>16</v>
      </c>
      <c r="M5" s="62" t="s">
        <v>17</v>
      </c>
      <c r="N5" s="62" t="s">
        <v>18</v>
      </c>
      <c r="O5" s="14"/>
    </row>
    <row r="6" ht="16.5" customHeight="1">
      <c r="B6" s="20" t="s">
        <v>19</v>
      </c>
      <c r="C6" s="21">
        <f t="shared" ref="C6:N6" si="1">SUM(C7:C15)</f>
        <v>0</v>
      </c>
      <c r="D6" s="21">
        <f t="shared" si="1"/>
        <v>0</v>
      </c>
      <c r="E6" s="21">
        <f t="shared" si="1"/>
        <v>5386.206897</v>
      </c>
      <c r="F6" s="23">
        <f t="shared" si="1"/>
        <v>7263.051724</v>
      </c>
      <c r="G6" s="23">
        <f t="shared" si="1"/>
        <v>9132.340517</v>
      </c>
      <c r="H6" s="23">
        <f t="shared" si="1"/>
        <v>11468.95151</v>
      </c>
      <c r="I6" s="21">
        <f t="shared" si="1"/>
        <v>14500.84133</v>
      </c>
      <c r="J6" s="21">
        <f t="shared" si="1"/>
        <v>18179.57752</v>
      </c>
      <c r="K6" s="21">
        <f t="shared" si="1"/>
        <v>20922.80624</v>
      </c>
      <c r="L6" s="23">
        <f t="shared" si="1"/>
        <v>23526.02306</v>
      </c>
      <c r="M6" s="23">
        <f t="shared" si="1"/>
        <v>30711.05469</v>
      </c>
      <c r="N6" s="23">
        <f t="shared" si="1"/>
        <v>39692.34423</v>
      </c>
      <c r="O6" s="25">
        <f t="shared" ref="O6:O15" si="2">SUM(C6:N6)</f>
        <v>180783.1977</v>
      </c>
    </row>
    <row r="7" ht="16.5" customHeight="1">
      <c r="B7" s="26" t="s">
        <v>37</v>
      </c>
      <c r="C7" s="27">
        <f>(Umsatz!C7*'Kanäle'!$D$2)-'Digital Marketing Budget'!C7-'Digital Marketing Budget'!C8</f>
        <v>0</v>
      </c>
      <c r="D7" s="27">
        <f>(Umsatz!D7*'Kanäle'!$D$2)-'Digital Marketing Budget'!D7-'Digital Marketing Budget'!D8</f>
        <v>0</v>
      </c>
      <c r="E7" s="27">
        <f>(Umsatz!E7*'Kanäle'!$D$2)-'Digital Marketing Budget'!E7-'Digital Marketing Budget'!E8</f>
        <v>2275.862069</v>
      </c>
      <c r="F7" s="28">
        <f>(Umsatz!F7*'Kanäle'!$D$2)-'Digital Marketing Budget'!F7-'Digital Marketing Budget'!F8</f>
        <v>2844.827586</v>
      </c>
      <c r="G7" s="28">
        <f>(Umsatz!G7*'Kanäle'!$D$2)-'Digital Marketing Budget'!G7-'Digital Marketing Budget'!G8</f>
        <v>3556.034483</v>
      </c>
      <c r="H7" s="28">
        <f>(Umsatz!H7*'Kanäle'!$D$2)-'Digital Marketing Budget'!H7-'Digital Marketing Budget'!H8</f>
        <v>4445.043103</v>
      </c>
      <c r="I7" s="27">
        <f>(Umsatz!I7*'Kanäle'!$D$2)-'Digital Marketing Budget'!I7-'Digital Marketing Budget'!I8</f>
        <v>5556.303879</v>
      </c>
      <c r="J7" s="27">
        <f>(Umsatz!J7*'Kanäle'!$D$2)-'Digital Marketing Budget'!J7-'Digital Marketing Budget'!J8</f>
        <v>6945.379849</v>
      </c>
      <c r="K7" s="27">
        <f>(Umsatz!K7*'Kanäle'!$D$2)-'Digital Marketing Budget'!K7-'Digital Marketing Budget'!K8</f>
        <v>8681.724811</v>
      </c>
      <c r="L7" s="28">
        <f>(Umsatz!L7*'Kanäle'!$D$2)-'Digital Marketing Budget'!L7-'Digital Marketing Budget'!L8</f>
        <v>5852.156014</v>
      </c>
      <c r="M7" s="28">
        <f>(Umsatz!M7*'Kanäle'!$D$2)-'Digital Marketing Budget'!M7-'Digital Marketing Budget'!M8</f>
        <v>8565.195018</v>
      </c>
      <c r="N7" s="28">
        <f>(Umsatz!N7*'Kanäle'!$D$2)-'Digital Marketing Budget'!N7-'Digital Marketing Budget'!N8</f>
        <v>11956.49377</v>
      </c>
      <c r="O7" s="25">
        <f t="shared" si="2"/>
        <v>60679.02059</v>
      </c>
      <c r="P7" s="71"/>
    </row>
    <row r="8" ht="16.5" customHeight="1">
      <c r="B8" s="26"/>
      <c r="C8" s="27">
        <v>0.0</v>
      </c>
      <c r="D8" s="27">
        <v>0.0</v>
      </c>
      <c r="E8" s="27">
        <v>0.0</v>
      </c>
      <c r="F8" s="28">
        <v>0.0</v>
      </c>
      <c r="G8" s="28">
        <v>0.0</v>
      </c>
      <c r="H8" s="28">
        <v>0.0</v>
      </c>
      <c r="I8" s="27">
        <v>0.0</v>
      </c>
      <c r="J8" s="27">
        <v>0.0</v>
      </c>
      <c r="K8" s="27">
        <v>0.0</v>
      </c>
      <c r="L8" s="28">
        <v>0.0</v>
      </c>
      <c r="M8" s="28">
        <v>0.0</v>
      </c>
      <c r="N8" s="28">
        <v>0.0</v>
      </c>
      <c r="O8" s="25">
        <f t="shared" si="2"/>
        <v>0</v>
      </c>
      <c r="P8" s="71"/>
    </row>
    <row r="9" ht="16.5" customHeight="1">
      <c r="B9" s="26" t="s">
        <v>22</v>
      </c>
      <c r="C9" s="27">
        <f>Umsatz!C9*'Kanäle'!$D$2-'Digital Marketing Budget'!C9</f>
        <v>0</v>
      </c>
      <c r="D9" s="27">
        <f>Umsatz!D9*'Kanäle'!$D$2-'Digital Marketing Budget'!D9</f>
        <v>0</v>
      </c>
      <c r="E9" s="27">
        <f>Umsatz!E9*'Kanäle'!$D$2-'Digital Marketing Budget'!E9</f>
        <v>3034.482759</v>
      </c>
      <c r="F9" s="28">
        <f>Umsatz!F9*'Kanäle'!$D$2-'Digital Marketing Budget'!F9</f>
        <v>3793.103448</v>
      </c>
      <c r="G9" s="28">
        <f>Umsatz!G9*'Kanäle'!$D$2-'Digital Marketing Budget'!G9</f>
        <v>4741.37931</v>
      </c>
      <c r="H9" s="28">
        <f>Umsatz!H9*'Kanäle'!$D$2-'Digital Marketing Budget'!H9</f>
        <v>5926.724138</v>
      </c>
      <c r="I9" s="27">
        <f>Umsatz!I9*'Kanäle'!$D$2-'Digital Marketing Budget'!I9</f>
        <v>7408.405172</v>
      </c>
      <c r="J9" s="27">
        <f>Umsatz!J9*'Kanäle'!$D$2-'Digital Marketing Budget'!J9</f>
        <v>9260.506466</v>
      </c>
      <c r="K9" s="27">
        <f>Umsatz!K9*'Kanäle'!$D$2-'Digital Marketing Budget'!K9</f>
        <v>11575.63308</v>
      </c>
      <c r="L9" s="28">
        <f>Umsatz!L9*'Kanäle'!$D$2-'Digital Marketing Budget'!L9</f>
        <v>14469.54135</v>
      </c>
      <c r="M9" s="28">
        <f>Umsatz!M9*'Kanäle'!$D$2-'Digital Marketing Budget'!M9</f>
        <v>18086.92669</v>
      </c>
      <c r="N9" s="28">
        <f>Umsatz!N9*'Kanäle'!$D$2-'Digital Marketing Budget'!N9</f>
        <v>22608.65836</v>
      </c>
      <c r="O9" s="25">
        <f t="shared" si="2"/>
        <v>100905.3608</v>
      </c>
      <c r="P9" s="71"/>
    </row>
    <row r="10" ht="16.5" customHeight="1">
      <c r="B10" s="26" t="s">
        <v>23</v>
      </c>
      <c r="C10" s="27">
        <f>(Umsatz!C10*'Kanäle'!$D$2)-'Digital Marketing Budget'!C10</f>
        <v>0</v>
      </c>
      <c r="D10" s="27">
        <f>(Umsatz!D10*'Kanäle'!$D$2)-'Digital Marketing Budget'!D10</f>
        <v>0</v>
      </c>
      <c r="E10" s="27">
        <f>(Umsatz!E10*'Kanäle'!$D$2)-'Digital Marketing Budget'!E10</f>
        <v>0</v>
      </c>
      <c r="F10" s="28">
        <f>(Umsatz!F10*'Kanäle'!$D$2)-'Digital Marketing Budget'!F10</f>
        <v>0</v>
      </c>
      <c r="G10" s="28">
        <f>(Umsatz!G10*'Kanäle'!$D$2)-'Digital Marketing Budget'!G10</f>
        <v>0</v>
      </c>
      <c r="H10" s="28">
        <f>(Umsatz!H10*'Kanäle'!$D$2)-'Digital Marketing Budget'!H10</f>
        <v>0</v>
      </c>
      <c r="I10" s="27">
        <f>(Umsatz!I10*'Kanäle'!$D$2)-'Digital Marketing Budget'!I10</f>
        <v>0</v>
      </c>
      <c r="J10" s="27">
        <f>(Umsatz!J10*'Kanäle'!$D$2)-'Digital Marketing Budget'!J10</f>
        <v>0</v>
      </c>
      <c r="K10" s="27">
        <f>(Umsatz!K10*'Kanäle'!$D$2)-'Digital Marketing Budget'!K10</f>
        <v>0</v>
      </c>
      <c r="L10" s="28">
        <f>(Umsatz!L10*'Kanäle'!$D$2)-'Digital Marketing Budget'!L10</f>
        <v>0</v>
      </c>
      <c r="M10" s="28">
        <f>(Umsatz!M10*'Kanäle'!$D$2)-'Digital Marketing Budget'!M10</f>
        <v>0</v>
      </c>
      <c r="N10" s="28">
        <f>(Umsatz!N10*'Kanäle'!$D$2)-'Digital Marketing Budget'!N10</f>
        <v>0</v>
      </c>
      <c r="O10" s="25">
        <f t="shared" si="2"/>
        <v>0</v>
      </c>
      <c r="P10" s="71"/>
    </row>
    <row r="11" ht="16.5" customHeight="1">
      <c r="B11" s="26" t="s">
        <v>24</v>
      </c>
      <c r="C11" s="27">
        <f>Umsatz!C11*'Kanäle'!$D$2-'Digital Marketing Budget'!C11</f>
        <v>0</v>
      </c>
      <c r="D11" s="27">
        <f>Umsatz!D11*'Kanäle'!$D$2-'Digital Marketing Budget'!D11</f>
        <v>0</v>
      </c>
      <c r="E11" s="27">
        <f>Umsatz!E11*'Kanäle'!$D$2-'Digital Marketing Budget'!E11</f>
        <v>0</v>
      </c>
      <c r="F11" s="28">
        <f>Umsatz!F11*'Kanäle'!$D$2-'Digital Marketing Budget'!F11</f>
        <v>0</v>
      </c>
      <c r="G11" s="28">
        <f>Umsatz!G11*'Kanäle'!$D$2-'Digital Marketing Budget'!G11</f>
        <v>0</v>
      </c>
      <c r="H11" s="28">
        <f>Umsatz!H11*'Kanäle'!$D$2-'Digital Marketing Budget'!H11</f>
        <v>0</v>
      </c>
      <c r="I11" s="27">
        <f>Umsatz!I11*'Kanäle'!$D$2-'Digital Marketing Budget'!I11</f>
        <v>0</v>
      </c>
      <c r="J11" s="27">
        <f>Umsatz!J11*'Kanäle'!$D$2-'Digital Marketing Budget'!J11</f>
        <v>0</v>
      </c>
      <c r="K11" s="27">
        <f>Umsatz!K11*'Kanäle'!$D$2-'Digital Marketing Budget'!K11</f>
        <v>0</v>
      </c>
      <c r="L11" s="28">
        <f>Umsatz!L11*'Kanäle'!$D$2-'Digital Marketing Budget'!L11</f>
        <v>0</v>
      </c>
      <c r="M11" s="28">
        <f>Umsatz!M11*'Kanäle'!$D$2-'Digital Marketing Budget'!M11</f>
        <v>0</v>
      </c>
      <c r="N11" s="28">
        <f>Umsatz!N11*'Kanäle'!$D$2-'Digital Marketing Budget'!N11</f>
        <v>0</v>
      </c>
      <c r="O11" s="25">
        <f t="shared" si="2"/>
        <v>0</v>
      </c>
      <c r="P11" s="71"/>
    </row>
    <row r="12" ht="16.5" customHeight="1">
      <c r="B12" s="26" t="s">
        <v>25</v>
      </c>
      <c r="C12" s="27">
        <f>Umsatz!C12*'Kanäle'!$D$2-'Digital Marketing Budget'!C12</f>
        <v>0</v>
      </c>
      <c r="D12" s="27">
        <f>Umsatz!D12*'Kanäle'!$D$2-'Digital Marketing Budget'!D12</f>
        <v>0</v>
      </c>
      <c r="E12" s="27">
        <f>Umsatz!E12*'Kanäle'!$D$2-'Digital Marketing Budget'!E12</f>
        <v>0</v>
      </c>
      <c r="F12" s="28">
        <f>Umsatz!F12*'Kanäle'!$D$2-'Digital Marketing Budget'!F12</f>
        <v>0</v>
      </c>
      <c r="G12" s="28">
        <f>Umsatz!G12*'Kanäle'!$D$2-'Digital Marketing Budget'!G12</f>
        <v>0</v>
      </c>
      <c r="H12" s="28">
        <f>Umsatz!H12*'Kanäle'!$D$2-'Digital Marketing Budget'!H12</f>
        <v>0</v>
      </c>
      <c r="I12" s="27">
        <f>Umsatz!I12*'Kanäle'!$D$2-'Digital Marketing Budget'!I12</f>
        <v>0</v>
      </c>
      <c r="J12" s="27">
        <f>Umsatz!J12*'Kanäle'!$D$2-'Digital Marketing Budget'!J12</f>
        <v>0</v>
      </c>
      <c r="K12" s="27">
        <f>Umsatz!K12*'Kanäle'!$D$2-'Digital Marketing Budget'!K12</f>
        <v>0</v>
      </c>
      <c r="L12" s="28">
        <f>Umsatz!L12*'Kanäle'!$D$2-'Digital Marketing Budget'!L12</f>
        <v>0</v>
      </c>
      <c r="M12" s="28">
        <f>Umsatz!M12*'Kanäle'!$D$2-'Digital Marketing Budget'!M12</f>
        <v>0</v>
      </c>
      <c r="N12" s="28">
        <f>Umsatz!N12*'Kanäle'!$D$2-'Digital Marketing Budget'!N12</f>
        <v>0</v>
      </c>
      <c r="O12" s="25">
        <f t="shared" si="2"/>
        <v>0</v>
      </c>
      <c r="P12" s="71"/>
    </row>
    <row r="13" ht="16.5" customHeight="1">
      <c r="B13" s="26" t="s">
        <v>26</v>
      </c>
      <c r="C13" s="27">
        <f>Umsatz!C13*'Kanäle'!$D$2-'Digital Marketing Budget'!C13</f>
        <v>0</v>
      </c>
      <c r="D13" s="27">
        <f>Umsatz!D13*'Kanäle'!$D$2-'Digital Marketing Budget'!D13</f>
        <v>0</v>
      </c>
      <c r="E13" s="27">
        <f>Umsatz!E13*'Kanäle'!$D$2-'Digital Marketing Budget'!E13</f>
        <v>75.86206897</v>
      </c>
      <c r="F13" s="28">
        <f>Umsatz!F13*'Kanäle'!$D$2-'Digital Marketing Budget'!F13</f>
        <v>37.93103448</v>
      </c>
      <c r="G13" s="28">
        <f>Umsatz!G13*'Kanäle'!$D$2-'Digital Marketing Budget'!G13</f>
        <v>47.4137931</v>
      </c>
      <c r="H13" s="28">
        <f>Umsatz!H13*'Kanäle'!$D$2-'Digital Marketing Budget'!H13</f>
        <v>59.26724138</v>
      </c>
      <c r="I13" s="27">
        <f>Umsatz!I13*'Kanäle'!$D$2-'Digital Marketing Budget'!I13</f>
        <v>185.2101293</v>
      </c>
      <c r="J13" s="27">
        <f>Umsatz!J13*'Kanäle'!$D$2-'Digital Marketing Budget'!J13</f>
        <v>231.5126616</v>
      </c>
      <c r="K13" s="27">
        <f>Umsatz!K13*'Kanäle'!$D$2-'Digital Marketing Budget'!K13</f>
        <v>289.390827</v>
      </c>
      <c r="L13" s="28">
        <f>Umsatz!L13*'Kanäle'!$D$2-'Digital Marketing Budget'!L13</f>
        <v>361.7385338</v>
      </c>
      <c r="M13" s="28">
        <f>Umsatz!M13*'Kanäle'!$D$2-'Digital Marketing Budget'!M13</f>
        <v>452.1731673</v>
      </c>
      <c r="N13" s="28">
        <f>Umsatz!N13*'Kanäle'!$D$2-'Digital Marketing Budget'!N13</f>
        <v>565.2164591</v>
      </c>
      <c r="O13" s="25">
        <f t="shared" si="2"/>
        <v>2305.715916</v>
      </c>
      <c r="P13" s="71"/>
    </row>
    <row r="14" ht="16.5" customHeight="1">
      <c r="B14" s="26" t="s">
        <v>27</v>
      </c>
      <c r="C14" s="27">
        <f>Umsatz!C14*'Kanäle'!$D$2-'Digital Marketing Budget'!C14</f>
        <v>0</v>
      </c>
      <c r="D14" s="27">
        <f>Umsatz!D14*'Kanäle'!$D$2-'Digital Marketing Budget'!D14</f>
        <v>0</v>
      </c>
      <c r="E14" s="27">
        <f>Umsatz!E14*'Kanäle'!$D$2-'Digital Marketing Budget'!E14</f>
        <v>0</v>
      </c>
      <c r="F14" s="28">
        <f>Umsatz!F14*'Kanäle'!$D$2-'Digital Marketing Budget'!F14</f>
        <v>-13.06896552</v>
      </c>
      <c r="G14" s="28">
        <f>Umsatz!G14*'Kanäle'!$D$2-'Digital Marketing Budget'!G14</f>
        <v>34.34482759</v>
      </c>
      <c r="H14" s="28">
        <f>Umsatz!H14*'Kanäle'!$D$2-'Digital Marketing Budget'!H14</f>
        <v>93.61206897</v>
      </c>
      <c r="I14" s="27">
        <f>Umsatz!I14*'Kanäle'!$D$2-'Digital Marketing Budget'!I14</f>
        <v>167.6961207</v>
      </c>
      <c r="J14" s="27">
        <f>Umsatz!J14*'Kanäle'!$D$2-'Digital Marketing Budget'!J14</f>
        <v>260.3011853</v>
      </c>
      <c r="K14" s="27">
        <f>Umsatz!K14*'Kanäle'!$D$2-'Digital Marketing Budget'!K14</f>
        <v>376.0575162</v>
      </c>
      <c r="L14" s="28">
        <f>Umsatz!L14*'Kanäle'!$D$2-'Digital Marketing Budget'!L14</f>
        <v>520.7529297</v>
      </c>
      <c r="M14" s="28">
        <f>Umsatz!M14*'Kanäle'!$D$2-'Digital Marketing Budget'!M14</f>
        <v>701.6221966</v>
      </c>
      <c r="N14" s="28">
        <f>Umsatz!N14*'Kanäle'!$D$2-'Digital Marketing Budget'!N14</f>
        <v>927.7087802</v>
      </c>
      <c r="O14" s="25">
        <f t="shared" si="2"/>
        <v>3069.02666</v>
      </c>
      <c r="P14" s="71"/>
    </row>
    <row r="15" ht="16.5" customHeight="1">
      <c r="B15" s="29" t="s">
        <v>28</v>
      </c>
      <c r="C15" s="27">
        <f>Umsatz!C15*'Kanäle'!$D$2</f>
        <v>0</v>
      </c>
      <c r="D15" s="27">
        <f>Umsatz!D15*'Kanäle'!$D$2</f>
        <v>0</v>
      </c>
      <c r="E15" s="27">
        <f>Umsatz!E15*'Kanäle'!$D$2</f>
        <v>0</v>
      </c>
      <c r="F15" s="28">
        <f>Umsatz!F15*'Kanäle'!$D$2</f>
        <v>600.2586207</v>
      </c>
      <c r="G15" s="28">
        <f>Umsatz!G15*'Kanäle'!$D$2</f>
        <v>753.1681034</v>
      </c>
      <c r="H15" s="28">
        <f>Umsatz!H15*'Kanäle'!$D$2</f>
        <v>944.3049569</v>
      </c>
      <c r="I15" s="27">
        <f>Umsatz!I15*'Kanäle'!$D$2</f>
        <v>1183.226024</v>
      </c>
      <c r="J15" s="27">
        <f>Umsatz!J15*'Kanäle'!$D$2</f>
        <v>1481.877357</v>
      </c>
      <c r="K15" s="27">
        <v>0.0</v>
      </c>
      <c r="L15" s="28">
        <f>Umsatz!L15*'Kanäle'!$D$2</f>
        <v>2321.834233</v>
      </c>
      <c r="M15" s="28">
        <f>Umsatz!M15*'Kanäle'!$D$2</f>
        <v>2905.137618</v>
      </c>
      <c r="N15" s="28">
        <f>Umsatz!N15*'Kanäle'!$D$2</f>
        <v>3634.266851</v>
      </c>
      <c r="O15" s="25">
        <f t="shared" si="2"/>
        <v>13824.07376</v>
      </c>
      <c r="P15" s="71"/>
    </row>
    <row r="16" ht="16.5" customHeight="1">
      <c r="B16" s="17" t="s">
        <v>32</v>
      </c>
      <c r="C16" s="31">
        <f t="shared" ref="C16:O16" si="3">SUM(C7:C15)</f>
        <v>0</v>
      </c>
      <c r="D16" s="31">
        <f t="shared" si="3"/>
        <v>0</v>
      </c>
      <c r="E16" s="31">
        <f t="shared" si="3"/>
        <v>5386.206897</v>
      </c>
      <c r="F16" s="31">
        <f t="shared" si="3"/>
        <v>7263.051724</v>
      </c>
      <c r="G16" s="31">
        <f t="shared" si="3"/>
        <v>9132.340517</v>
      </c>
      <c r="H16" s="31">
        <f t="shared" si="3"/>
        <v>11468.95151</v>
      </c>
      <c r="I16" s="31">
        <f t="shared" si="3"/>
        <v>14500.84133</v>
      </c>
      <c r="J16" s="31">
        <f t="shared" si="3"/>
        <v>18179.57752</v>
      </c>
      <c r="K16" s="31">
        <f t="shared" si="3"/>
        <v>20922.80624</v>
      </c>
      <c r="L16" s="31">
        <f t="shared" si="3"/>
        <v>23526.02306</v>
      </c>
      <c r="M16" s="31">
        <f t="shared" si="3"/>
        <v>30711.05469</v>
      </c>
      <c r="N16" s="31">
        <f t="shared" si="3"/>
        <v>39692.34423</v>
      </c>
      <c r="O16" s="32">
        <f t="shared" si="3"/>
        <v>180783.1977</v>
      </c>
    </row>
    <row r="17" ht="16.5" customHeight="1"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ht="16.5" customHeight="1"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ht="16.5" customHeight="1"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ht="16.5" customHeight="1"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</row>
    <row r="21" ht="16.5" customHeight="1"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ht="16.5" customHeight="1">
      <c r="B22" s="9">
        <v>2023.0</v>
      </c>
      <c r="C22" s="57" t="s">
        <v>2</v>
      </c>
      <c r="D22" s="11"/>
      <c r="E22" s="11"/>
      <c r="F22" s="72" t="s">
        <v>3</v>
      </c>
      <c r="G22" s="11"/>
      <c r="H22" s="11"/>
      <c r="I22" s="73" t="s">
        <v>4</v>
      </c>
      <c r="J22" s="11"/>
      <c r="K22" s="11"/>
      <c r="L22" s="72" t="s">
        <v>5</v>
      </c>
      <c r="M22" s="11"/>
      <c r="N22" s="11"/>
      <c r="O22" s="74" t="s">
        <v>42</v>
      </c>
    </row>
    <row r="23" ht="16.5" customHeight="1">
      <c r="B23" s="14"/>
      <c r="C23" s="60" t="s">
        <v>7</v>
      </c>
      <c r="D23" s="31" t="s">
        <v>8</v>
      </c>
      <c r="E23" s="31" t="s">
        <v>9</v>
      </c>
      <c r="F23" s="61" t="s">
        <v>10</v>
      </c>
      <c r="G23" s="62" t="s">
        <v>11</v>
      </c>
      <c r="H23" s="62" t="s">
        <v>12</v>
      </c>
      <c r="I23" s="60" t="s">
        <v>13</v>
      </c>
      <c r="J23" s="31" t="s">
        <v>14</v>
      </c>
      <c r="K23" s="31" t="s">
        <v>15</v>
      </c>
      <c r="L23" s="61" t="s">
        <v>16</v>
      </c>
      <c r="M23" s="62" t="s">
        <v>17</v>
      </c>
      <c r="N23" s="62" t="s">
        <v>18</v>
      </c>
      <c r="O23" s="39"/>
    </row>
    <row r="24" ht="16.5" customHeight="1">
      <c r="B24" s="20" t="s">
        <v>19</v>
      </c>
      <c r="C24" s="21">
        <f t="shared" ref="C24:N24" si="4">SUM(C25:C33)</f>
        <v>65840.60539</v>
      </c>
      <c r="D24" s="21">
        <f t="shared" si="4"/>
        <v>68446.35648</v>
      </c>
      <c r="E24" s="21">
        <f t="shared" si="4"/>
        <v>81867.08788</v>
      </c>
      <c r="F24" s="23">
        <f t="shared" si="4"/>
        <v>85573.09073</v>
      </c>
      <c r="G24" s="23">
        <f t="shared" si="4"/>
        <v>89374.03009</v>
      </c>
      <c r="H24" s="23">
        <f t="shared" si="4"/>
        <v>104060.5376</v>
      </c>
      <c r="I24" s="21">
        <f t="shared" si="4"/>
        <v>109109.963</v>
      </c>
      <c r="J24" s="21">
        <f t="shared" si="4"/>
        <v>114339.7363</v>
      </c>
      <c r="K24" s="21">
        <f t="shared" si="4"/>
        <v>130549.0299</v>
      </c>
      <c r="L24" s="23">
        <f t="shared" si="4"/>
        <v>137224.5892</v>
      </c>
      <c r="M24" s="23">
        <f t="shared" si="4"/>
        <v>144194.1786</v>
      </c>
      <c r="N24" s="23">
        <f t="shared" si="4"/>
        <v>162268.339</v>
      </c>
      <c r="O24" s="40">
        <f t="shared" ref="O24:O33" si="5">SUM(C24:N24)</f>
        <v>1292847.544</v>
      </c>
    </row>
    <row r="25" ht="16.5" customHeight="1">
      <c r="B25" s="26" t="s">
        <v>37</v>
      </c>
      <c r="C25" s="27">
        <f>(Umsatz!C25*'Kanäle'!$D$2)-'Digital Marketing Budget'!C25-'Digital Marketing Budget'!C26</f>
        <v>13652.14315</v>
      </c>
      <c r="D25" s="27">
        <f>(Umsatz!D25*'Kanäle'!$D$2)-'Digital Marketing Budget'!D25-'Digital Marketing Budget'!D26</f>
        <v>15517.35746</v>
      </c>
      <c r="E25" s="27">
        <f>(Umsatz!E25*'Kanäle'!$D$2)-'Digital Marketing Budget'!E25-'Digital Marketing Budget'!E26</f>
        <v>17569.09321</v>
      </c>
      <c r="F25" s="28">
        <f>(Umsatz!F25*'Kanäle'!$D$2)-'Digital Marketing Budget'!F25-'Digital Marketing Budget'!F26</f>
        <v>19826.00253</v>
      </c>
      <c r="G25" s="28">
        <f>(Umsatz!G25*'Kanäle'!$D$2)-'Digital Marketing Budget'!G25-'Digital Marketing Budget'!G26</f>
        <v>22308.60279</v>
      </c>
      <c r="H25" s="28">
        <f>(Umsatz!H25*'Kanäle'!$D$2)-'Digital Marketing Budget'!H25-'Digital Marketing Budget'!H26</f>
        <v>25039.46306</v>
      </c>
      <c r="I25" s="27">
        <f>(Umsatz!I25*'Kanäle'!$D$2)-'Digital Marketing Budget'!I25-'Digital Marketing Budget'!I26</f>
        <v>28043.40937</v>
      </c>
      <c r="J25" s="27">
        <f>(Umsatz!J25*'Kanäle'!$D$2)-'Digital Marketing Budget'!J25-'Digital Marketing Budget'!J26</f>
        <v>31347.75031</v>
      </c>
      <c r="K25" s="27">
        <f>(Umsatz!K25*'Kanäle'!$D$2)-'Digital Marketing Budget'!K25-'Digital Marketing Budget'!K26</f>
        <v>34982.52534</v>
      </c>
      <c r="L25" s="28">
        <f>(Umsatz!L25*'Kanäle'!$D$2)-'Digital Marketing Budget'!L25-'Digital Marketing Budget'!L26</f>
        <v>38980.77787</v>
      </c>
      <c r="M25" s="28">
        <f>(Umsatz!M25*'Kanäle'!$D$2)-'Digital Marketing Budget'!M25-'Digital Marketing Budget'!M26</f>
        <v>43378.85566</v>
      </c>
      <c r="N25" s="28">
        <f>(Umsatz!N25*'Kanäle'!$D$2)-'Digital Marketing Budget'!N25-'Digital Marketing Budget'!N26</f>
        <v>48216.74122</v>
      </c>
      <c r="O25" s="25">
        <f t="shared" si="5"/>
        <v>338862.722</v>
      </c>
    </row>
    <row r="26" ht="16.5" customHeight="1">
      <c r="B26" s="26"/>
      <c r="C26" s="27">
        <v>0.0</v>
      </c>
      <c r="D26" s="27">
        <v>0.0</v>
      </c>
      <c r="E26" s="27">
        <v>0.0</v>
      </c>
      <c r="F26" s="28">
        <v>0.0</v>
      </c>
      <c r="G26" s="28">
        <v>0.0</v>
      </c>
      <c r="H26" s="28">
        <v>0.0</v>
      </c>
      <c r="I26" s="27">
        <v>0.0</v>
      </c>
      <c r="J26" s="27">
        <v>0.0</v>
      </c>
      <c r="K26" s="27">
        <v>0.0</v>
      </c>
      <c r="L26" s="28">
        <v>0.0</v>
      </c>
      <c r="M26" s="28">
        <v>0.0</v>
      </c>
      <c r="N26" s="28">
        <v>0.0</v>
      </c>
      <c r="O26" s="25">
        <f t="shared" si="5"/>
        <v>0</v>
      </c>
    </row>
    <row r="27" ht="16.5" customHeight="1">
      <c r="B27" s="26" t="s">
        <v>22</v>
      </c>
      <c r="C27" s="27">
        <f>Umsatz!C27*'Kanäle'!$D$2-'Digital Marketing Budget'!C27</f>
        <v>21091.41698</v>
      </c>
      <c r="D27" s="27">
        <f>Umsatz!D27*'Kanäle'!$D$2-'Digital Marketing Budget'!D27</f>
        <v>19574.1756</v>
      </c>
      <c r="E27" s="27">
        <f>Umsatz!E27*'Kanäle'!$D$2-'Digital Marketing Budget'!E27</f>
        <v>27160.3825</v>
      </c>
      <c r="F27" s="28">
        <f>Umsatz!F27*'Kanäle'!$D$2-'Digital Marketing Budget'!F27</f>
        <v>25643.14112</v>
      </c>
      <c r="G27" s="28">
        <f>Umsatz!G27*'Kanäle'!$D$2-'Digital Marketing Budget'!G27</f>
        <v>24125.89974</v>
      </c>
      <c r="H27" s="28">
        <f>Umsatz!H27*'Kanäle'!$D$2-'Digital Marketing Budget'!H27</f>
        <v>31712.10664</v>
      </c>
      <c r="I27" s="27">
        <f>Umsatz!I27*'Kanäle'!$D$2-'Digital Marketing Budget'!I27</f>
        <v>30194.86526</v>
      </c>
      <c r="J27" s="27">
        <f>Umsatz!J27*'Kanäle'!$D$2-'Digital Marketing Budget'!J27</f>
        <v>28677.62388</v>
      </c>
      <c r="K27" s="27">
        <f>Umsatz!K27*'Kanäle'!$D$2-'Digital Marketing Budget'!K27</f>
        <v>36263.83078</v>
      </c>
      <c r="L27" s="28">
        <f>Umsatz!L27*'Kanäle'!$D$2-'Digital Marketing Budget'!L27</f>
        <v>34746.5894</v>
      </c>
      <c r="M27" s="28">
        <f>Umsatz!M27*'Kanäle'!$D$2-'Digital Marketing Budget'!M27</f>
        <v>33229.34802</v>
      </c>
      <c r="N27" s="28">
        <f>Umsatz!N27*'Kanäle'!$D$2-'Digital Marketing Budget'!N27</f>
        <v>40815.55491</v>
      </c>
      <c r="O27" s="25">
        <f t="shared" si="5"/>
        <v>353234.9348</v>
      </c>
    </row>
    <row r="28" ht="16.5" customHeight="1">
      <c r="B28" s="26" t="s">
        <v>23</v>
      </c>
      <c r="C28" s="27">
        <f>(Umsatz!C28*'Kanäle'!$D$2)-'Digital Marketing Budget'!C28</f>
        <v>9155.172414</v>
      </c>
      <c r="D28" s="27">
        <f>(Umsatz!D28*'Kanäle'!$D$2)-'Digital Marketing Budget'!D28</f>
        <v>9155.172414</v>
      </c>
      <c r="E28" s="27">
        <f>(Umsatz!E28*'Kanäle'!$D$2)-'Digital Marketing Budget'!E28</f>
        <v>9155.172414</v>
      </c>
      <c r="F28" s="28">
        <f>(Umsatz!F28*'Kanäle'!$D$2)-'Digital Marketing Budget'!F28</f>
        <v>9155.172414</v>
      </c>
      <c r="G28" s="28">
        <f>(Umsatz!G28*'Kanäle'!$D$2)-'Digital Marketing Budget'!G28</f>
        <v>9155.172414</v>
      </c>
      <c r="H28" s="28">
        <f>(Umsatz!H28*'Kanäle'!$D$2)-'Digital Marketing Budget'!H28</f>
        <v>9155.172414</v>
      </c>
      <c r="I28" s="27">
        <f>(Umsatz!I28*'Kanäle'!$D$2)-'Digital Marketing Budget'!I28</f>
        <v>9155.172414</v>
      </c>
      <c r="J28" s="27">
        <f>(Umsatz!J28*'Kanäle'!$D$2)-'Digital Marketing Budget'!J28</f>
        <v>9155.172414</v>
      </c>
      <c r="K28" s="27">
        <f>(Umsatz!K28*'Kanäle'!$D$2)-'Digital Marketing Budget'!K28</f>
        <v>9155.172414</v>
      </c>
      <c r="L28" s="28">
        <f>(Umsatz!L28*'Kanäle'!$D$2)-'Digital Marketing Budget'!L28</f>
        <v>9155.172414</v>
      </c>
      <c r="M28" s="28">
        <f>(Umsatz!M28*'Kanäle'!$D$2)-'Digital Marketing Budget'!M28</f>
        <v>9155.172414</v>
      </c>
      <c r="N28" s="28">
        <f>(Umsatz!N28*'Kanäle'!$D$2)-'Digital Marketing Budget'!N28</f>
        <v>9155.172414</v>
      </c>
      <c r="O28" s="25">
        <f t="shared" si="5"/>
        <v>109862.069</v>
      </c>
    </row>
    <row r="29" ht="16.5" customHeight="1">
      <c r="B29" s="26" t="s">
        <v>24</v>
      </c>
      <c r="C29" s="27">
        <f>Umsatz!C29*'Kanäle'!$D$2-'Digital Marketing Budget'!C29</f>
        <v>9155.172414</v>
      </c>
      <c r="D29" s="27">
        <f>Umsatz!D29*'Kanäle'!$D$2-'Digital Marketing Budget'!D29</f>
        <v>9155.172414</v>
      </c>
      <c r="E29" s="27">
        <f>Umsatz!E29*'Kanäle'!$D$2-'Digital Marketing Budget'!E29</f>
        <v>9155.172414</v>
      </c>
      <c r="F29" s="28">
        <f>Umsatz!F29*'Kanäle'!$D$2-'Digital Marketing Budget'!F29</f>
        <v>9155.172414</v>
      </c>
      <c r="G29" s="28">
        <f>Umsatz!G29*'Kanäle'!$D$2-'Digital Marketing Budget'!G29</f>
        <v>9155.172414</v>
      </c>
      <c r="H29" s="28">
        <f>Umsatz!H29*'Kanäle'!$D$2-'Digital Marketing Budget'!H29</f>
        <v>9155.172414</v>
      </c>
      <c r="I29" s="27">
        <f>Umsatz!I29*'Kanäle'!$D$2-'Digital Marketing Budget'!I29</f>
        <v>9155.172414</v>
      </c>
      <c r="J29" s="27">
        <f>Umsatz!J29*'Kanäle'!$D$2-'Digital Marketing Budget'!J29</f>
        <v>9155.172414</v>
      </c>
      <c r="K29" s="27">
        <f>Umsatz!K29*'Kanäle'!$D$2-'Digital Marketing Budget'!K29</f>
        <v>9155.172414</v>
      </c>
      <c r="L29" s="28">
        <f>Umsatz!L29*'Kanäle'!$D$2-'Digital Marketing Budget'!L29</f>
        <v>9155.172414</v>
      </c>
      <c r="M29" s="28">
        <f>Umsatz!M29*'Kanäle'!$D$2-'Digital Marketing Budget'!M29</f>
        <v>9155.172414</v>
      </c>
      <c r="N29" s="28">
        <f>Umsatz!N29*'Kanäle'!$D$2-'Digital Marketing Budget'!N29</f>
        <v>9155.172414</v>
      </c>
      <c r="O29" s="25">
        <f t="shared" si="5"/>
        <v>109862.069</v>
      </c>
    </row>
    <row r="30" ht="16.5" customHeight="1">
      <c r="B30" s="26" t="s">
        <v>25</v>
      </c>
      <c r="C30" s="27">
        <f>Umsatz!C30*'Kanäle'!$D$2-'Digital Marketing Budget'!C30</f>
        <v>5702.586207</v>
      </c>
      <c r="D30" s="27">
        <f>Umsatz!D30*'Kanäle'!$D$2-'Digital Marketing Budget'!D30</f>
        <v>5702.586207</v>
      </c>
      <c r="E30" s="27">
        <f>Umsatz!E30*'Kanäle'!$D$2-'Digital Marketing Budget'!E30</f>
        <v>5702.586207</v>
      </c>
      <c r="F30" s="28">
        <f>Umsatz!F30*'Kanäle'!$D$2-'Digital Marketing Budget'!F30</f>
        <v>5702.586207</v>
      </c>
      <c r="G30" s="28">
        <f>Umsatz!G30*'Kanäle'!$D$2-'Digital Marketing Budget'!G30</f>
        <v>5702.586207</v>
      </c>
      <c r="H30" s="28">
        <f>Umsatz!H30*'Kanäle'!$D$2-'Digital Marketing Budget'!H30</f>
        <v>5702.586207</v>
      </c>
      <c r="I30" s="27">
        <f>Umsatz!I30*'Kanäle'!$D$2-'Digital Marketing Budget'!I30</f>
        <v>5702.586207</v>
      </c>
      <c r="J30" s="27">
        <f>Umsatz!J30*'Kanäle'!$D$2-'Digital Marketing Budget'!J30</f>
        <v>5702.586207</v>
      </c>
      <c r="K30" s="27">
        <f>Umsatz!K30*'Kanäle'!$D$2-'Digital Marketing Budget'!K30</f>
        <v>5702.586207</v>
      </c>
      <c r="L30" s="28">
        <f>Umsatz!L30*'Kanäle'!$D$2-'Digital Marketing Budget'!L30</f>
        <v>5702.586207</v>
      </c>
      <c r="M30" s="28">
        <f>Umsatz!M30*'Kanäle'!$D$2-'Digital Marketing Budget'!M30</f>
        <v>5702.586207</v>
      </c>
      <c r="N30" s="28">
        <f>Umsatz!N30*'Kanäle'!$D$2-'Digital Marketing Budget'!N30</f>
        <v>5702.586207</v>
      </c>
      <c r="O30" s="25">
        <f t="shared" si="5"/>
        <v>68431.03448</v>
      </c>
    </row>
    <row r="31" ht="16.5" customHeight="1">
      <c r="B31" s="26" t="s">
        <v>26</v>
      </c>
      <c r="C31" s="27">
        <f>Umsatz!C31*'Kanäle'!$D$2-'Digital Marketing Budget'!C31</f>
        <v>-2378.261895</v>
      </c>
      <c r="D31" s="27">
        <f>Umsatz!D31*'Kanäle'!$D$2-'Digital Marketing Budget'!D31</f>
        <v>-2316.088085</v>
      </c>
      <c r="E31" s="27">
        <f>Umsatz!E31*'Kanäle'!$D$2-'Digital Marketing Budget'!E31</f>
        <v>-2247.696893</v>
      </c>
      <c r="F31" s="28">
        <f>Umsatz!F31*'Kanäle'!$D$2-'Digital Marketing Budget'!F31</f>
        <v>-2172.466582</v>
      </c>
      <c r="G31" s="28">
        <f>Umsatz!G31*'Kanäle'!$D$2-'Digital Marketing Budget'!G31</f>
        <v>-2089.71324</v>
      </c>
      <c r="H31" s="28">
        <f>Umsatz!H31*'Kanäle'!$D$2-'Digital Marketing Budget'!H31</f>
        <v>-1998.684565</v>
      </c>
      <c r="I31" s="27">
        <f>Umsatz!I31*'Kanäle'!$D$2-'Digital Marketing Budget'!I31</f>
        <v>-1898.553021</v>
      </c>
      <c r="J31" s="27">
        <f>Umsatz!J31*'Kanäle'!$D$2-'Digital Marketing Budget'!J31</f>
        <v>-1788.408323</v>
      </c>
      <c r="K31" s="27">
        <f>Umsatz!K31*'Kanäle'!$D$2-'Digital Marketing Budget'!K31</f>
        <v>-1667.249155</v>
      </c>
      <c r="L31" s="28">
        <f>Umsatz!L31*'Kanäle'!$D$2-'Digital Marketing Budget'!L31</f>
        <v>-1533.974071</v>
      </c>
      <c r="M31" s="28">
        <f>Umsatz!M31*'Kanäle'!$D$2-'Digital Marketing Budget'!M31</f>
        <v>-1387.371478</v>
      </c>
      <c r="N31" s="28">
        <f>Umsatz!N31*'Kanäle'!$D$2-'Digital Marketing Budget'!N31</f>
        <v>-1226.108626</v>
      </c>
      <c r="O31" s="25">
        <f t="shared" si="5"/>
        <v>-22704.57593</v>
      </c>
    </row>
    <row r="32" ht="16.5" customHeight="1">
      <c r="B32" s="26" t="s">
        <v>27</v>
      </c>
      <c r="C32" s="27">
        <f>Umsatz!C32*'Kanäle'!$D$2-'Digital Marketing Budget'!C32</f>
        <v>3036.850479</v>
      </c>
      <c r="D32" s="27">
        <f>Umsatz!D32*'Kanäle'!$D$2-'Digital Marketing Budget'!D32</f>
        <v>4994.268039</v>
      </c>
      <c r="E32" s="27">
        <f>Umsatz!E32*'Kanäle'!$D$2-'Digital Marketing Budget'!E32</f>
        <v>7710.306289</v>
      </c>
      <c r="F32" s="28">
        <f>Umsatz!F32*'Kanäle'!$D$2-'Digital Marketing Budget'!F32</f>
        <v>10274.6204</v>
      </c>
      <c r="G32" s="28">
        <f>Umsatz!G32*'Kanäle'!$D$2-'Digital Marketing Budget'!G32</f>
        <v>12687.21038</v>
      </c>
      <c r="H32" s="28">
        <f>Umsatz!H32*'Kanäle'!$D$2-'Digital Marketing Budget'!H32</f>
        <v>15858.42104</v>
      </c>
      <c r="I32" s="27">
        <f>Umsatz!I32*'Kanäle'!$D$2-'Digital Marketing Budget'!I32</f>
        <v>18877.90757</v>
      </c>
      <c r="J32" s="27">
        <f>Umsatz!J32*'Kanäle'!$D$2-'Digital Marketing Budget'!J32</f>
        <v>21745.66995</v>
      </c>
      <c r="K32" s="27">
        <f>Umsatz!K32*'Kanäle'!$D$2-'Digital Marketing Budget'!K32</f>
        <v>25372.05303</v>
      </c>
      <c r="L32" s="28">
        <f>Umsatz!L32*'Kanäle'!$D$2-'Digital Marketing Budget'!L32</f>
        <v>28846.71197</v>
      </c>
      <c r="M32" s="28">
        <f>Umsatz!M32*'Kanäle'!$D$2-'Digital Marketing Budget'!M32</f>
        <v>32169.64677</v>
      </c>
      <c r="N32" s="28">
        <f>Umsatz!N32*'Kanäle'!$D$2-'Digital Marketing Budget'!N32</f>
        <v>36251.20226</v>
      </c>
      <c r="O32" s="25">
        <f t="shared" si="5"/>
        <v>217824.8682</v>
      </c>
    </row>
    <row r="33" ht="16.5" customHeight="1">
      <c r="B33" s="29" t="s">
        <v>28</v>
      </c>
      <c r="C33" s="27">
        <f>Umsatz!C33*'Kanäle'!$D$2</f>
        <v>6425.525634</v>
      </c>
      <c r="D33" s="27">
        <f>Umsatz!D33*'Kanäle'!$D$2</f>
        <v>6663.712422</v>
      </c>
      <c r="E33" s="27">
        <f>Umsatz!E33*'Kanäle'!$D$2</f>
        <v>7662.07174</v>
      </c>
      <c r="F33" s="28">
        <f>Umsatz!F33*'Kanäle'!$D$2</f>
        <v>7988.86222</v>
      </c>
      <c r="G33" s="28">
        <f>Umsatz!G33*'Kanäle'!$D$2</f>
        <v>8329.099393</v>
      </c>
      <c r="H33" s="28">
        <f>Umsatz!H33*'Kanäle'!$D$2</f>
        <v>9436.30034</v>
      </c>
      <c r="I33" s="27">
        <f>Umsatz!I33*'Kanäle'!$D$2</f>
        <v>9879.40282</v>
      </c>
      <c r="J33" s="27">
        <f>Umsatz!J33*'Kanäle'!$D$2</f>
        <v>10344.1694</v>
      </c>
      <c r="K33" s="27">
        <f>Umsatz!K33*'Kanäle'!$D$2</f>
        <v>11584.9389</v>
      </c>
      <c r="L33" s="28">
        <f>Umsatz!L33*'Kanäle'!$D$2</f>
        <v>12171.553</v>
      </c>
      <c r="M33" s="28">
        <f>Umsatz!M33*'Kanäle'!$D$2</f>
        <v>12790.76856</v>
      </c>
      <c r="N33" s="28">
        <f>Umsatz!N33*'Kanäle'!$D$2</f>
        <v>14198.01815</v>
      </c>
      <c r="O33" s="25">
        <f t="shared" si="5"/>
        <v>117474.4226</v>
      </c>
    </row>
    <row r="34" ht="16.5" customHeight="1">
      <c r="B34" s="17" t="s">
        <v>32</v>
      </c>
      <c r="C34" s="31">
        <f t="shared" ref="C34:O34" si="6">SUM(C25:C33)</f>
        <v>65840.60539</v>
      </c>
      <c r="D34" s="31">
        <f t="shared" si="6"/>
        <v>68446.35648</v>
      </c>
      <c r="E34" s="31">
        <f t="shared" si="6"/>
        <v>81867.08788</v>
      </c>
      <c r="F34" s="31">
        <f t="shared" si="6"/>
        <v>85573.09073</v>
      </c>
      <c r="G34" s="31">
        <f t="shared" si="6"/>
        <v>89374.03009</v>
      </c>
      <c r="H34" s="31">
        <f t="shared" si="6"/>
        <v>104060.5376</v>
      </c>
      <c r="I34" s="31">
        <f t="shared" si="6"/>
        <v>109109.963</v>
      </c>
      <c r="J34" s="31">
        <f t="shared" si="6"/>
        <v>114339.7363</v>
      </c>
      <c r="K34" s="31">
        <f t="shared" si="6"/>
        <v>130549.0299</v>
      </c>
      <c r="L34" s="31">
        <f t="shared" si="6"/>
        <v>137224.5892</v>
      </c>
      <c r="M34" s="31">
        <f t="shared" si="6"/>
        <v>144194.1786</v>
      </c>
      <c r="N34" s="31">
        <f t="shared" si="6"/>
        <v>162268.339</v>
      </c>
      <c r="O34" s="32">
        <f t="shared" si="6"/>
        <v>1292847.544</v>
      </c>
    </row>
    <row r="35" ht="16.5" customHeight="1"/>
    <row r="36" ht="16.5" customHeight="1"/>
    <row r="37" ht="16.5" customHeight="1"/>
    <row r="38" ht="16.5" customHeight="1"/>
    <row r="39" ht="16.5" customHeight="1"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</row>
    <row r="40" ht="16.5" customHeight="1">
      <c r="B40" s="9">
        <v>2024.0</v>
      </c>
      <c r="C40" s="57" t="s">
        <v>2</v>
      </c>
      <c r="D40" s="11"/>
      <c r="E40" s="11"/>
      <c r="F40" s="72" t="s">
        <v>3</v>
      </c>
      <c r="G40" s="11"/>
      <c r="H40" s="11"/>
      <c r="I40" s="73" t="s">
        <v>4</v>
      </c>
      <c r="J40" s="11"/>
      <c r="K40" s="11"/>
      <c r="L40" s="72" t="s">
        <v>5</v>
      </c>
      <c r="M40" s="11"/>
      <c r="N40" s="11"/>
      <c r="O40" s="74" t="s">
        <v>42</v>
      </c>
    </row>
    <row r="41" ht="16.5" customHeight="1">
      <c r="B41" s="14"/>
      <c r="C41" s="60" t="s">
        <v>7</v>
      </c>
      <c r="D41" s="31" t="s">
        <v>8</v>
      </c>
      <c r="E41" s="31" t="s">
        <v>9</v>
      </c>
      <c r="F41" s="61" t="s">
        <v>10</v>
      </c>
      <c r="G41" s="62" t="s">
        <v>11</v>
      </c>
      <c r="H41" s="62" t="s">
        <v>12</v>
      </c>
      <c r="I41" s="60" t="s">
        <v>13</v>
      </c>
      <c r="J41" s="31" t="s">
        <v>14</v>
      </c>
      <c r="K41" s="31" t="s">
        <v>15</v>
      </c>
      <c r="L41" s="61" t="s">
        <v>16</v>
      </c>
      <c r="M41" s="62" t="s">
        <v>17</v>
      </c>
      <c r="N41" s="62" t="s">
        <v>18</v>
      </c>
      <c r="O41" s="39"/>
    </row>
    <row r="42" ht="16.5" customHeight="1">
      <c r="B42" s="20" t="s">
        <v>19</v>
      </c>
      <c r="C42" s="21">
        <f t="shared" ref="C42:N42" si="7">SUM(C43:C51)</f>
        <v>171368.2766</v>
      </c>
      <c r="D42" s="21">
        <f t="shared" si="7"/>
        <v>180237.9331</v>
      </c>
      <c r="E42" s="21">
        <f t="shared" si="7"/>
        <v>200353.2363</v>
      </c>
      <c r="F42" s="23">
        <f t="shared" si="7"/>
        <v>211227.5439</v>
      </c>
      <c r="G42" s="23">
        <f t="shared" si="7"/>
        <v>222717.8944</v>
      </c>
      <c r="H42" s="23">
        <f t="shared" si="7"/>
        <v>245667.03</v>
      </c>
      <c r="I42" s="21">
        <f t="shared" si="7"/>
        <v>259609.6223</v>
      </c>
      <c r="J42" s="21">
        <f t="shared" si="7"/>
        <v>274426.1548</v>
      </c>
      <c r="K42" s="21">
        <f t="shared" si="7"/>
        <v>300985.1597</v>
      </c>
      <c r="L42" s="23">
        <f t="shared" si="7"/>
        <v>318849.677</v>
      </c>
      <c r="M42" s="23">
        <f t="shared" si="7"/>
        <v>337931.3962</v>
      </c>
      <c r="N42" s="23">
        <f t="shared" si="7"/>
        <v>369133.1752</v>
      </c>
      <c r="O42" s="40">
        <f t="shared" ref="O42:O51" si="8">SUM(C42:N42)</f>
        <v>3092507.099</v>
      </c>
    </row>
    <row r="43" ht="16.5" customHeight="1">
      <c r="B43" s="26" t="s">
        <v>37</v>
      </c>
      <c r="C43" s="27">
        <f>(Umsatz!C43*'Kanäle'!$D$2)-'Digital Marketing Budget'!C43-'Digital Marketing Budget'!C44</f>
        <v>53538.41535</v>
      </c>
      <c r="D43" s="27">
        <f>(Umsatz!D43*'Kanäle'!$D$2)-'Digital Marketing Budget'!D43-'Digital Marketing Budget'!D44</f>
        <v>59392.25688</v>
      </c>
      <c r="E43" s="27">
        <f>(Umsatz!E43*'Kanäle'!$D$2)-'Digital Marketing Budget'!E43-'Digital Marketing Budget'!E44</f>
        <v>65831.48257</v>
      </c>
      <c r="F43" s="28">
        <f>(Umsatz!F43*'Kanäle'!$D$2)-'Digital Marketing Budget'!F43-'Digital Marketing Budget'!F44</f>
        <v>72914.63083</v>
      </c>
      <c r="G43" s="28">
        <f>(Umsatz!G43*'Kanäle'!$D$2)-'Digital Marketing Budget'!G43-'Digital Marketing Budget'!G44</f>
        <v>80706.09391</v>
      </c>
      <c r="H43" s="28">
        <f>(Umsatz!H43*'Kanäle'!$D$2)-'Digital Marketing Budget'!H43-'Digital Marketing Budget'!H44</f>
        <v>89276.7033</v>
      </c>
      <c r="I43" s="27">
        <f>(Umsatz!I43*'Kanäle'!$D$2)-'Digital Marketing Budget'!I43-'Digital Marketing Budget'!I44</f>
        <v>98704.37363</v>
      </c>
      <c r="J43" s="27">
        <f>(Umsatz!J43*'Kanäle'!$D$2)-'Digital Marketing Budget'!J43-'Digital Marketing Budget'!J44</f>
        <v>109074.811</v>
      </c>
      <c r="K43" s="27">
        <f>(Umsatz!K43*'Kanäle'!$D$2)-'Digital Marketing Budget'!K43-'Digital Marketing Budget'!K44</f>
        <v>120482.2921</v>
      </c>
      <c r="L43" s="28">
        <f>(Umsatz!L43*'Kanäle'!$D$2)-'Digital Marketing Budget'!L43-'Digital Marketing Budget'!L44</f>
        <v>133030.5213</v>
      </c>
      <c r="M43" s="28">
        <f>(Umsatz!M43*'Kanäle'!$D$2)-'Digital Marketing Budget'!M43-'Digital Marketing Budget'!M44</f>
        <v>146833.5734</v>
      </c>
      <c r="N43" s="28">
        <f>(Umsatz!N43*'Kanäle'!$D$2)-'Digital Marketing Budget'!N43-'Digital Marketing Budget'!N44</f>
        <v>162016.9308</v>
      </c>
      <c r="O43" s="25">
        <f t="shared" si="8"/>
        <v>1191802.085</v>
      </c>
    </row>
    <row r="44" ht="16.5" customHeight="1">
      <c r="B44" s="26"/>
      <c r="C44" s="27">
        <v>0.0</v>
      </c>
      <c r="D44" s="27">
        <v>0.0</v>
      </c>
      <c r="E44" s="27">
        <v>0.0</v>
      </c>
      <c r="F44" s="28">
        <v>0.0</v>
      </c>
      <c r="G44" s="28">
        <v>0.0</v>
      </c>
      <c r="H44" s="28">
        <v>0.0</v>
      </c>
      <c r="I44" s="27">
        <v>0.0</v>
      </c>
      <c r="J44" s="27">
        <v>0.0</v>
      </c>
      <c r="K44" s="27">
        <v>0.0</v>
      </c>
      <c r="L44" s="28">
        <v>0.0</v>
      </c>
      <c r="M44" s="28">
        <v>0.0</v>
      </c>
      <c r="N44" s="28">
        <v>0.0</v>
      </c>
      <c r="O44" s="25">
        <f t="shared" si="8"/>
        <v>0</v>
      </c>
    </row>
    <row r="45" ht="16.5" customHeight="1">
      <c r="B45" s="26" t="s">
        <v>22</v>
      </c>
      <c r="C45" s="27">
        <f>Umsatz!C45*'Kanäle'!$D$2-'Digital Marketing Budget'!C45</f>
        <v>39298.31354</v>
      </c>
      <c r="D45" s="27">
        <f>Umsatz!D45*'Kanäle'!$D$2-'Digital Marketing Budget'!D45</f>
        <v>37781.07216</v>
      </c>
      <c r="E45" s="27">
        <f>Umsatz!E45*'Kanäle'!$D$2-'Digital Marketing Budget'!E45</f>
        <v>45367.27905</v>
      </c>
      <c r="F45" s="28">
        <f>Umsatz!F45*'Kanäle'!$D$2-'Digital Marketing Budget'!F45</f>
        <v>43850.03767</v>
      </c>
      <c r="G45" s="28">
        <f>Umsatz!G45*'Kanäle'!$D$2-'Digital Marketing Budget'!G45</f>
        <v>42332.79629</v>
      </c>
      <c r="H45" s="28">
        <f>Umsatz!H45*'Kanäle'!$D$2-'Digital Marketing Budget'!H45</f>
        <v>49919.00319</v>
      </c>
      <c r="I45" s="27">
        <f>Umsatz!I45*'Kanäle'!$D$2-'Digital Marketing Budget'!I45</f>
        <v>48401.76181</v>
      </c>
      <c r="J45" s="27">
        <f>Umsatz!J45*'Kanäle'!$D$2-'Digital Marketing Budget'!J45</f>
        <v>46884.52043</v>
      </c>
      <c r="K45" s="27">
        <f>Umsatz!K45*'Kanäle'!$D$2-'Digital Marketing Budget'!K45</f>
        <v>54470.72733</v>
      </c>
      <c r="L45" s="28">
        <f>Umsatz!L45*'Kanäle'!$D$2-'Digital Marketing Budget'!L45</f>
        <v>52953.48595</v>
      </c>
      <c r="M45" s="28">
        <f>Umsatz!M45*'Kanäle'!$D$2-'Digital Marketing Budget'!M45</f>
        <v>51436.24457</v>
      </c>
      <c r="N45" s="28">
        <f>Umsatz!N45*'Kanäle'!$D$2-'Digital Marketing Budget'!N45</f>
        <v>59022.45147</v>
      </c>
      <c r="O45" s="25">
        <f t="shared" si="8"/>
        <v>571717.6935</v>
      </c>
    </row>
    <row r="46" ht="16.5" customHeight="1">
      <c r="B46" s="26" t="s">
        <v>23</v>
      </c>
      <c r="C46" s="27">
        <f>(Umsatz!C46*'Kanäle'!$D$2)-'Digital Marketing Budget'!C46</f>
        <v>9155.172414</v>
      </c>
      <c r="D46" s="27">
        <f>(Umsatz!D46*'Kanäle'!$D$2)-'Digital Marketing Budget'!D46</f>
        <v>9155.172414</v>
      </c>
      <c r="E46" s="27">
        <f>(Umsatz!E46*'Kanäle'!$D$2)-'Digital Marketing Budget'!E46</f>
        <v>9155.172414</v>
      </c>
      <c r="F46" s="28">
        <f>(Umsatz!F46*'Kanäle'!$D$2)-'Digital Marketing Budget'!F46</f>
        <v>9155.172414</v>
      </c>
      <c r="G46" s="28">
        <f>(Umsatz!G46*'Kanäle'!$D$2)-'Digital Marketing Budget'!G46</f>
        <v>9155.172414</v>
      </c>
      <c r="H46" s="28">
        <f>(Umsatz!H46*'Kanäle'!$D$2)-'Digital Marketing Budget'!H46</f>
        <v>9155.172414</v>
      </c>
      <c r="I46" s="27">
        <f>(Umsatz!I46*'Kanäle'!$D$2)-'Digital Marketing Budget'!I46</f>
        <v>9155.172414</v>
      </c>
      <c r="J46" s="27">
        <f>(Umsatz!J46*'Kanäle'!$D$2)-'Digital Marketing Budget'!J46</f>
        <v>9155.172414</v>
      </c>
      <c r="K46" s="27">
        <f>(Umsatz!K46*'Kanäle'!$D$2)-'Digital Marketing Budget'!K46</f>
        <v>9155.172414</v>
      </c>
      <c r="L46" s="28">
        <f>(Umsatz!L46*'Kanäle'!$D$2)-'Digital Marketing Budget'!L46</f>
        <v>9155.172414</v>
      </c>
      <c r="M46" s="28">
        <f>(Umsatz!M46*'Kanäle'!$D$2)-'Digital Marketing Budget'!M46</f>
        <v>9155.172414</v>
      </c>
      <c r="N46" s="28">
        <f>(Umsatz!N46*'Kanäle'!$D$2)-'Digital Marketing Budget'!N46</f>
        <v>9155.172414</v>
      </c>
      <c r="O46" s="25">
        <f t="shared" si="8"/>
        <v>109862.069</v>
      </c>
    </row>
    <row r="47" ht="16.5" customHeight="1">
      <c r="B47" s="26" t="s">
        <v>24</v>
      </c>
      <c r="C47" s="27">
        <f>Umsatz!C47*'Kanäle'!$D$2-'Digital Marketing Budget'!C47</f>
        <v>9155.172414</v>
      </c>
      <c r="D47" s="27">
        <f>Umsatz!D47*'Kanäle'!$D$2-'Digital Marketing Budget'!D47</f>
        <v>9155.172414</v>
      </c>
      <c r="E47" s="27">
        <f>Umsatz!E47*'Kanäle'!$D$2-'Digital Marketing Budget'!E47</f>
        <v>9155.172414</v>
      </c>
      <c r="F47" s="28">
        <f>Umsatz!F47*'Kanäle'!$D$2-'Digital Marketing Budget'!F47</f>
        <v>9155.172414</v>
      </c>
      <c r="G47" s="28">
        <f>Umsatz!G47*'Kanäle'!$D$2-'Digital Marketing Budget'!G47</f>
        <v>9155.172414</v>
      </c>
      <c r="H47" s="28">
        <f>Umsatz!H47*'Kanäle'!$D$2-'Digital Marketing Budget'!H47</f>
        <v>9155.172414</v>
      </c>
      <c r="I47" s="27">
        <f>Umsatz!I47*'Kanäle'!$D$2-'Digital Marketing Budget'!I47</f>
        <v>9155.172414</v>
      </c>
      <c r="J47" s="27">
        <f>Umsatz!J47*'Kanäle'!$D$2-'Digital Marketing Budget'!J47</f>
        <v>9155.172414</v>
      </c>
      <c r="K47" s="27">
        <f>Umsatz!K47*'Kanäle'!$D$2-'Digital Marketing Budget'!K47</f>
        <v>9155.172414</v>
      </c>
      <c r="L47" s="28">
        <f>Umsatz!L47*'Kanäle'!$D$2-'Digital Marketing Budget'!L47</f>
        <v>9155.172414</v>
      </c>
      <c r="M47" s="28">
        <f>Umsatz!M47*'Kanäle'!$D$2-'Digital Marketing Budget'!M47</f>
        <v>9155.172414</v>
      </c>
      <c r="N47" s="28">
        <f>Umsatz!N47*'Kanäle'!$D$2-'Digital Marketing Budget'!N47</f>
        <v>9155.172414</v>
      </c>
      <c r="O47" s="25">
        <f t="shared" si="8"/>
        <v>109862.069</v>
      </c>
    </row>
    <row r="48" ht="16.5" customHeight="1">
      <c r="B48" s="26" t="s">
        <v>25</v>
      </c>
      <c r="C48" s="27">
        <f>Umsatz!C48*'Kanäle'!$D$2-'Digital Marketing Budget'!C48</f>
        <v>5702.586207</v>
      </c>
      <c r="D48" s="27">
        <f>Umsatz!D48*'Kanäle'!$D$2-'Digital Marketing Budget'!D48</f>
        <v>5702.586207</v>
      </c>
      <c r="E48" s="27">
        <f>Umsatz!E48*'Kanäle'!$D$2-'Digital Marketing Budget'!E48</f>
        <v>5702.586207</v>
      </c>
      <c r="F48" s="28">
        <f>Umsatz!F48*'Kanäle'!$D$2-'Digital Marketing Budget'!F48</f>
        <v>5702.586207</v>
      </c>
      <c r="G48" s="28">
        <f>Umsatz!G48*'Kanäle'!$D$2-'Digital Marketing Budget'!G48</f>
        <v>5702.586207</v>
      </c>
      <c r="H48" s="28">
        <f>Umsatz!H48*'Kanäle'!$D$2-'Digital Marketing Budget'!H48</f>
        <v>5702.586207</v>
      </c>
      <c r="I48" s="27">
        <f>Umsatz!I48*'Kanäle'!$D$2-'Digital Marketing Budget'!I48</f>
        <v>5702.586207</v>
      </c>
      <c r="J48" s="27">
        <f>Umsatz!J48*'Kanäle'!$D$2-'Digital Marketing Budget'!J48</f>
        <v>5702.586207</v>
      </c>
      <c r="K48" s="27">
        <f>Umsatz!K48*'Kanäle'!$D$2-'Digital Marketing Budget'!K48</f>
        <v>5702.586207</v>
      </c>
      <c r="L48" s="28">
        <f>Umsatz!L48*'Kanäle'!$D$2-'Digital Marketing Budget'!L48</f>
        <v>5702.586207</v>
      </c>
      <c r="M48" s="28">
        <f>Umsatz!M48*'Kanäle'!$D$2-'Digital Marketing Budget'!M48</f>
        <v>5702.586207</v>
      </c>
      <c r="N48" s="28">
        <f>Umsatz!N48*'Kanäle'!$D$2-'Digital Marketing Budget'!N48</f>
        <v>5702.586207</v>
      </c>
      <c r="O48" s="25">
        <f t="shared" si="8"/>
        <v>68431.03448</v>
      </c>
    </row>
    <row r="49" ht="16.5" customHeight="1">
      <c r="B49" s="26" t="s">
        <v>26</v>
      </c>
      <c r="C49" s="27">
        <f>Umsatz!C49*'Kanäle'!$D$2-'Digital Marketing Budget'!C49</f>
        <v>-724.137931</v>
      </c>
      <c r="D49" s="27">
        <f>Umsatz!D49*'Kanäle'!$D$2-'Digital Marketing Budget'!D49</f>
        <v>-724.137931</v>
      </c>
      <c r="E49" s="27">
        <f>Umsatz!E49*'Kanäle'!$D$2-'Digital Marketing Budget'!E49</f>
        <v>-724.137931</v>
      </c>
      <c r="F49" s="28">
        <f>Umsatz!F49*'Kanäle'!$D$2-'Digital Marketing Budget'!F49</f>
        <v>-724.137931</v>
      </c>
      <c r="G49" s="28">
        <f>Umsatz!G49*'Kanäle'!$D$2-'Digital Marketing Budget'!G49</f>
        <v>-724.137931</v>
      </c>
      <c r="H49" s="28">
        <f>Umsatz!H49*'Kanäle'!$D$2-'Digital Marketing Budget'!H49</f>
        <v>-724.137931</v>
      </c>
      <c r="I49" s="27">
        <f>Umsatz!I49*'Kanäle'!$D$2-'Digital Marketing Budget'!I49</f>
        <v>-724.137931</v>
      </c>
      <c r="J49" s="27">
        <f>Umsatz!J49*'Kanäle'!$D$2-'Digital Marketing Budget'!J49</f>
        <v>-724.137931</v>
      </c>
      <c r="K49" s="27">
        <f>Umsatz!K49*'Kanäle'!$D$2-'Digital Marketing Budget'!K49</f>
        <v>-724.137931</v>
      </c>
      <c r="L49" s="28">
        <f>Umsatz!L49*'Kanäle'!$D$2-'Digital Marketing Budget'!L49</f>
        <v>-724.137931</v>
      </c>
      <c r="M49" s="28">
        <f>Umsatz!M49*'Kanäle'!$D$2-'Digital Marketing Budget'!M49</f>
        <v>-724.137931</v>
      </c>
      <c r="N49" s="28">
        <f>Umsatz!N49*'Kanäle'!$D$2-'Digital Marketing Budget'!N49</f>
        <v>-724.137931</v>
      </c>
      <c r="O49" s="25">
        <f t="shared" si="8"/>
        <v>-8689.655172</v>
      </c>
    </row>
    <row r="50" ht="16.5" customHeight="1">
      <c r="B50" s="26" t="s">
        <v>27</v>
      </c>
      <c r="C50" s="27">
        <f>Umsatz!C50*'Kanäle'!$D$2-'Digital Marketing Budget'!C50</f>
        <v>40181.03362</v>
      </c>
      <c r="D50" s="27">
        <f>Umsatz!D50*'Kanäle'!$D$2-'Digital Marketing Budget'!D50</f>
        <v>43959.14083</v>
      </c>
      <c r="E50" s="27">
        <f>Umsatz!E50*'Kanäle'!$D$2-'Digital Marketing Budget'!E50</f>
        <v>48495.86874</v>
      </c>
      <c r="F50" s="28">
        <f>Umsatz!F50*'Kanäle'!$D$2-'Digital Marketing Budget'!F50</f>
        <v>52880.87251</v>
      </c>
      <c r="G50" s="28">
        <f>Umsatz!G50*'Kanäle'!$D$2-'Digital Marketing Budget'!G50</f>
        <v>57114.15214</v>
      </c>
      <c r="H50" s="28">
        <f>Umsatz!H50*'Kanäle'!$D$2-'Digital Marketing Budget'!H50</f>
        <v>62106.05245</v>
      </c>
      <c r="I50" s="27">
        <f>Umsatz!I50*'Kanäle'!$D$2-'Digital Marketing Budget'!I50</f>
        <v>66946.22864</v>
      </c>
      <c r="J50" s="27">
        <f>Umsatz!J50*'Kanäle'!$D$2-'Digital Marketing Budget'!J50</f>
        <v>71634.68068</v>
      </c>
      <c r="K50" s="27">
        <f>Umsatz!K50*'Kanäle'!$D$2-'Digital Marketing Budget'!K50</f>
        <v>77081.75341</v>
      </c>
      <c r="L50" s="28">
        <f>Umsatz!L50*'Kanäle'!$D$2-'Digital Marketing Budget'!L50</f>
        <v>82377.10201</v>
      </c>
      <c r="M50" s="28">
        <f>Umsatz!M50*'Kanäle'!$D$2-'Digital Marketing Budget'!M50</f>
        <v>87520.72646</v>
      </c>
      <c r="N50" s="28">
        <f>Umsatz!N50*'Kanäle'!$D$2-'Digital Marketing Budget'!N50</f>
        <v>93422.97161</v>
      </c>
      <c r="O50" s="25">
        <f t="shared" si="8"/>
        <v>783720.5831</v>
      </c>
    </row>
    <row r="51" ht="16.5" customHeight="1">
      <c r="B51" s="29" t="s">
        <v>28</v>
      </c>
      <c r="C51" s="27">
        <f>Umsatz!C51*'Kanäle'!$D$2</f>
        <v>15061.72102</v>
      </c>
      <c r="D51" s="27">
        <f>Umsatz!D51*'Kanäle'!$D$2</f>
        <v>15816.67011</v>
      </c>
      <c r="E51" s="27">
        <f>Umsatz!E51*'Kanäle'!$D$2</f>
        <v>17369.81279</v>
      </c>
      <c r="F51" s="28">
        <f>Umsatz!F51*'Kanäle'!$D$2</f>
        <v>18293.20979</v>
      </c>
      <c r="G51" s="28">
        <f>Umsatz!G51*'Kanäle'!$D$2</f>
        <v>19276.05897</v>
      </c>
      <c r="H51" s="28">
        <f>Umsatz!H51*'Kanäle'!$D$2</f>
        <v>21076.47795</v>
      </c>
      <c r="I51" s="27">
        <f>Umsatz!I51*'Kanäle'!$D$2</f>
        <v>22268.46509</v>
      </c>
      <c r="J51" s="27">
        <f>Umsatz!J51*'Kanäle'!$D$2</f>
        <v>23543.34963</v>
      </c>
      <c r="K51" s="27">
        <f>Umsatz!K51*'Kanäle'!$D$2</f>
        <v>25661.59371</v>
      </c>
      <c r="L51" s="28">
        <f>Umsatz!L51*'Kanäle'!$D$2</f>
        <v>27199.77468</v>
      </c>
      <c r="M51" s="28">
        <f>Umsatz!M51*'Kanäle'!$D$2</f>
        <v>28852.05862</v>
      </c>
      <c r="N51" s="28">
        <f>Umsatz!N51*'Kanäle'!$D$2</f>
        <v>31382.02826</v>
      </c>
      <c r="O51" s="25">
        <f t="shared" si="8"/>
        <v>265801.2206</v>
      </c>
    </row>
    <row r="52" ht="16.5" customHeight="1">
      <c r="B52" s="17" t="s">
        <v>32</v>
      </c>
      <c r="C52" s="31">
        <f t="shared" ref="C52:O52" si="9">SUM(C43:C51)</f>
        <v>171368.2766</v>
      </c>
      <c r="D52" s="31">
        <f t="shared" si="9"/>
        <v>180237.9331</v>
      </c>
      <c r="E52" s="31">
        <f t="shared" si="9"/>
        <v>200353.2363</v>
      </c>
      <c r="F52" s="31">
        <f t="shared" si="9"/>
        <v>211227.5439</v>
      </c>
      <c r="G52" s="31">
        <f t="shared" si="9"/>
        <v>222717.8944</v>
      </c>
      <c r="H52" s="31">
        <f t="shared" si="9"/>
        <v>245667.03</v>
      </c>
      <c r="I52" s="31">
        <f t="shared" si="9"/>
        <v>259609.6223</v>
      </c>
      <c r="J52" s="31">
        <f t="shared" si="9"/>
        <v>274426.1548</v>
      </c>
      <c r="K52" s="31">
        <f t="shared" si="9"/>
        <v>300985.1597</v>
      </c>
      <c r="L52" s="31">
        <f t="shared" si="9"/>
        <v>318849.677</v>
      </c>
      <c r="M52" s="31">
        <f t="shared" si="9"/>
        <v>337931.3962</v>
      </c>
      <c r="N52" s="31">
        <f t="shared" si="9"/>
        <v>369133.1752</v>
      </c>
      <c r="O52" s="32">
        <f t="shared" si="9"/>
        <v>3092507.099</v>
      </c>
    </row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</sheetData>
  <mergeCells count="19">
    <mergeCell ref="B1:D2"/>
    <mergeCell ref="B4:B5"/>
    <mergeCell ref="C4:E4"/>
    <mergeCell ref="F4:H4"/>
    <mergeCell ref="I4:K4"/>
    <mergeCell ref="L4:N4"/>
    <mergeCell ref="O4:O5"/>
    <mergeCell ref="C40:E40"/>
    <mergeCell ref="F40:H40"/>
    <mergeCell ref="I40:K40"/>
    <mergeCell ref="L40:N40"/>
    <mergeCell ref="B22:B23"/>
    <mergeCell ref="C22:E22"/>
    <mergeCell ref="F22:H22"/>
    <mergeCell ref="I22:K22"/>
    <mergeCell ref="L22:N22"/>
    <mergeCell ref="O22:O23"/>
    <mergeCell ref="B40:B41"/>
    <mergeCell ref="O40:O41"/>
  </mergeCells>
  <printOptions/>
  <pageMargins bottom="0.787401575" footer="0.0" header="0.0" left="0.7" right="0.7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33"/>
    <col customWidth="1" min="2" max="2" width="12.78"/>
    <col customWidth="1" min="3" max="3" width="11.67"/>
    <col customWidth="1" min="4" max="4" width="12.11"/>
    <col customWidth="1" min="5" max="5" width="11.67"/>
    <col customWidth="1" min="6" max="6" width="9.78"/>
    <col customWidth="1" min="7" max="7" width="12.44"/>
    <col customWidth="1" min="8" max="8" width="11.56"/>
    <col customWidth="1" min="9" max="9" width="5.89"/>
    <col customWidth="1" min="10" max="10" width="8.44"/>
    <col customWidth="1" min="11" max="11" width="7.22"/>
    <col customWidth="1" min="12" max="12" width="8.22"/>
    <col customWidth="1" min="13" max="13" width="23.0"/>
    <col customWidth="1" min="14" max="14" width="15.11"/>
    <col customWidth="1" min="15" max="15" width="4.22"/>
    <col customWidth="1" min="16" max="16" width="8.56"/>
    <col customWidth="1" min="17" max="30" width="4.44"/>
  </cols>
  <sheetData>
    <row r="1" ht="15.75" customHeight="1">
      <c r="A1" s="75"/>
      <c r="B1" s="76" t="s">
        <v>43</v>
      </c>
      <c r="C1" s="76" t="s">
        <v>44</v>
      </c>
      <c r="D1" s="76" t="s">
        <v>45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</row>
    <row r="2" ht="15.75" customHeight="1">
      <c r="A2" s="75"/>
      <c r="B2" s="77">
        <v>0.03</v>
      </c>
      <c r="C2" s="78">
        <v>200.0</v>
      </c>
      <c r="D2" s="79">
        <f t="shared" ref="D2:E2" si="1">(290-35-145)/290</f>
        <v>0.3793103448</v>
      </c>
      <c r="E2" s="79">
        <f t="shared" si="1"/>
        <v>0.3793103448</v>
      </c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</row>
    <row r="3" ht="15.75" customHeight="1">
      <c r="A3" s="75"/>
      <c r="B3" s="76"/>
      <c r="C3" s="78">
        <v>200.0</v>
      </c>
      <c r="D3" s="78">
        <v>14.33</v>
      </c>
      <c r="E3" s="78">
        <v>55.0</v>
      </c>
      <c r="F3" s="76">
        <f>((55/100*35))</f>
        <v>19.25</v>
      </c>
      <c r="G3" s="76">
        <f>E3-F3-D3</f>
        <v>21.42</v>
      </c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</row>
    <row r="4" ht="15.75" customHeight="1">
      <c r="A4" s="75"/>
      <c r="B4" s="76"/>
      <c r="C4" s="76"/>
      <c r="D4" s="76"/>
      <c r="E4" s="76"/>
      <c r="F4" s="76"/>
      <c r="G4" s="76"/>
      <c r="H4" s="78" t="s">
        <v>46</v>
      </c>
      <c r="I4" s="78" t="s">
        <v>47</v>
      </c>
      <c r="J4" s="78" t="s">
        <v>48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</row>
    <row r="5" ht="15.75" customHeight="1">
      <c r="A5" s="75" t="s">
        <v>49</v>
      </c>
      <c r="B5" s="76" t="s">
        <v>43</v>
      </c>
      <c r="C5" s="80">
        <v>0.03</v>
      </c>
      <c r="D5" s="76"/>
      <c r="E5" s="76"/>
      <c r="F5" s="76"/>
      <c r="G5" s="76"/>
      <c r="H5" s="78">
        <v>14.33</v>
      </c>
      <c r="I5" s="78">
        <v>55.0</v>
      </c>
      <c r="J5" s="76">
        <f>((55/100*35))</f>
        <v>19.25</v>
      </c>
      <c r="K5" s="76">
        <f>I5-J5-H5</f>
        <v>21.42</v>
      </c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</row>
    <row r="6" ht="15.75" customHeight="1">
      <c r="A6" s="81" t="s">
        <v>50</v>
      </c>
      <c r="B6" s="82" t="s">
        <v>51</v>
      </c>
      <c r="C6" s="82" t="s">
        <v>52</v>
      </c>
      <c r="D6" s="82" t="s">
        <v>53</v>
      </c>
      <c r="E6" s="82" t="s">
        <v>54</v>
      </c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5"/>
      <c r="T6" s="75"/>
      <c r="U6" s="75" t="s">
        <v>55</v>
      </c>
      <c r="V6" s="75" t="s">
        <v>56</v>
      </c>
      <c r="W6" s="75" t="s">
        <v>57</v>
      </c>
      <c r="X6" s="75"/>
      <c r="Y6" s="75"/>
      <c r="Z6" s="75"/>
      <c r="AA6" s="75"/>
      <c r="AB6" s="75"/>
      <c r="AC6" s="75"/>
      <c r="AD6" s="75"/>
    </row>
    <row r="7" ht="15.75" customHeight="1">
      <c r="A7" s="83" t="s">
        <v>58</v>
      </c>
      <c r="B7" s="84"/>
      <c r="C7" s="84"/>
      <c r="D7" s="84"/>
      <c r="E7" s="84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 t="s">
        <v>59</v>
      </c>
      <c r="T7" s="76">
        <v>29.0</v>
      </c>
      <c r="U7" s="76">
        <v>27.0</v>
      </c>
      <c r="V7" s="76">
        <v>3.0</v>
      </c>
      <c r="W7" s="76">
        <v>15.0</v>
      </c>
      <c r="X7" s="76"/>
      <c r="Y7" s="76">
        <f t="shared" ref="Y7:AB7" si="2">T7/29*100</f>
        <v>100</v>
      </c>
      <c r="Z7" s="76">
        <f t="shared" si="2"/>
        <v>93.10344828</v>
      </c>
      <c r="AA7" s="76">
        <f t="shared" si="2"/>
        <v>10.34482759</v>
      </c>
      <c r="AB7" s="76">
        <f t="shared" si="2"/>
        <v>51.72413793</v>
      </c>
      <c r="AC7" s="76">
        <f>Z7-AB7-AA7</f>
        <v>31.03448276</v>
      </c>
      <c r="AD7" s="76"/>
    </row>
    <row r="8" ht="15.75" customHeight="1">
      <c r="A8" s="83" t="s">
        <v>60</v>
      </c>
      <c r="B8" s="84"/>
      <c r="C8" s="84"/>
      <c r="D8" s="84"/>
      <c r="E8" s="84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</row>
    <row r="9" ht="15.75" customHeight="1">
      <c r="A9" s="75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</row>
    <row r="10" ht="15.75" customHeight="1">
      <c r="A10" s="81" t="s">
        <v>61</v>
      </c>
      <c r="B10" s="85" t="s">
        <v>62</v>
      </c>
      <c r="C10" s="85" t="s">
        <v>63</v>
      </c>
      <c r="D10" s="85" t="s">
        <v>64</v>
      </c>
      <c r="E10" s="85" t="s">
        <v>65</v>
      </c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</row>
    <row r="11" ht="15.75" customHeight="1">
      <c r="A11" s="83" t="s">
        <v>58</v>
      </c>
      <c r="B11" s="84"/>
      <c r="C11" s="84"/>
      <c r="D11" s="84"/>
      <c r="E11" s="84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</row>
    <row r="12" ht="15.75" customHeight="1">
      <c r="A12" s="83" t="s">
        <v>60</v>
      </c>
      <c r="B12" s="84"/>
      <c r="C12" s="84"/>
      <c r="D12" s="84"/>
      <c r="E12" s="84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</row>
    <row r="13" ht="15.75" customHeight="1">
      <c r="A13" s="75"/>
      <c r="B13" s="76" t="s">
        <v>43</v>
      </c>
      <c r="C13" s="77">
        <v>0.04</v>
      </c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</row>
    <row r="14" ht="15.75" customHeight="1">
      <c r="A14" s="81" t="s">
        <v>22</v>
      </c>
      <c r="B14" s="82" t="s">
        <v>66</v>
      </c>
      <c r="C14" s="85" t="s">
        <v>62</v>
      </c>
      <c r="D14" s="82" t="s">
        <v>67</v>
      </c>
      <c r="E14" s="82" t="s">
        <v>68</v>
      </c>
      <c r="F14" s="82" t="s">
        <v>69</v>
      </c>
      <c r="G14" s="82" t="s">
        <v>70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</row>
    <row r="15" ht="15.75" customHeight="1">
      <c r="A15" s="83" t="s">
        <v>58</v>
      </c>
      <c r="B15" s="84"/>
      <c r="C15" s="84"/>
      <c r="D15" s="84"/>
      <c r="E15" s="84"/>
      <c r="F15" s="84"/>
      <c r="G15" s="84"/>
      <c r="H15" s="86"/>
      <c r="I15" s="86"/>
      <c r="J15" s="8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</row>
    <row r="16" ht="15.75" customHeight="1">
      <c r="A16" s="83" t="s">
        <v>60</v>
      </c>
      <c r="B16" s="84"/>
      <c r="C16" s="84"/>
      <c r="D16" s="84"/>
      <c r="E16" s="84"/>
      <c r="F16" s="84"/>
      <c r="G16" s="84"/>
      <c r="H16" s="86"/>
      <c r="I16" s="86"/>
      <c r="J16" s="8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</row>
    <row r="17" ht="15.75" customHeight="1">
      <c r="A17" s="75"/>
      <c r="B17" s="76" t="s">
        <v>43</v>
      </c>
      <c r="C17" s="87">
        <v>0.04</v>
      </c>
      <c r="D17" s="76"/>
      <c r="E17" s="76"/>
      <c r="F17" s="76"/>
      <c r="G17" s="76"/>
      <c r="H17" s="86"/>
      <c r="I17" s="86"/>
      <c r="J17" s="8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</row>
    <row r="18" ht="15.75" customHeight="1">
      <c r="A18" s="81" t="s">
        <v>71</v>
      </c>
      <c r="B18" s="82" t="s">
        <v>72</v>
      </c>
      <c r="C18" s="85" t="s">
        <v>58</v>
      </c>
      <c r="D18" s="85" t="s">
        <v>73</v>
      </c>
      <c r="E18" s="82" t="s">
        <v>74</v>
      </c>
      <c r="F18" s="82" t="s">
        <v>75</v>
      </c>
      <c r="G18" s="76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</row>
    <row r="19" ht="15.75" customHeight="1">
      <c r="A19" s="83" t="s">
        <v>76</v>
      </c>
      <c r="B19" s="84">
        <v>0.0</v>
      </c>
      <c r="C19" s="84"/>
      <c r="D19" s="84">
        <v>0.0</v>
      </c>
      <c r="E19" s="84">
        <f t="shared" ref="E19:F19" si="3">(1*75*30)*1</f>
        <v>2250</v>
      </c>
      <c r="F19" s="84">
        <f t="shared" si="3"/>
        <v>2250</v>
      </c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</row>
    <row r="20" ht="15.75" customHeight="1">
      <c r="A20" s="83" t="s">
        <v>60</v>
      </c>
      <c r="B20" s="84">
        <v>0.0</v>
      </c>
      <c r="C20" s="84">
        <v>0.0</v>
      </c>
      <c r="D20" s="84">
        <v>0.0</v>
      </c>
      <c r="E20" s="84">
        <f t="shared" ref="E20:F20" si="4">1*75*30</f>
        <v>2250</v>
      </c>
      <c r="F20" s="84">
        <f t="shared" si="4"/>
        <v>2250</v>
      </c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</row>
    <row r="21" ht="15.75" customHeight="1">
      <c r="A21" s="83" t="s">
        <v>77</v>
      </c>
      <c r="B21" s="84">
        <v>0.0</v>
      </c>
      <c r="C21" s="84">
        <v>0.0</v>
      </c>
      <c r="D21" s="84">
        <v>0.0</v>
      </c>
      <c r="E21" s="84">
        <f t="shared" ref="E21:F21" si="5">E20/0.1</f>
        <v>22500</v>
      </c>
      <c r="F21" s="84">
        <f t="shared" si="5"/>
        <v>22500</v>
      </c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</row>
    <row r="22" ht="15.75" customHeight="1">
      <c r="A22" s="75"/>
      <c r="B22" s="76" t="s">
        <v>43</v>
      </c>
      <c r="C22" s="87">
        <v>0.04</v>
      </c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</row>
    <row r="23" ht="15.75" customHeight="1">
      <c r="A23" s="81" t="s">
        <v>78</v>
      </c>
      <c r="B23" s="82" t="s">
        <v>73</v>
      </c>
      <c r="C23" s="82" t="s">
        <v>74</v>
      </c>
      <c r="D23" s="82" t="s">
        <v>79</v>
      </c>
      <c r="E23" s="76"/>
      <c r="F23" s="75"/>
      <c r="G23" s="76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</row>
    <row r="24" ht="15.75" customHeight="1">
      <c r="A24" s="83" t="s">
        <v>76</v>
      </c>
      <c r="B24" s="84">
        <v>0.0</v>
      </c>
      <c r="C24" s="84">
        <f t="shared" ref="C24:D24" si="6">(1*75*30)*1</f>
        <v>2250</v>
      </c>
      <c r="D24" s="84">
        <f t="shared" si="6"/>
        <v>2250</v>
      </c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</row>
    <row r="25" ht="15.75" customHeight="1">
      <c r="A25" s="83" t="s">
        <v>60</v>
      </c>
      <c r="B25" s="84">
        <v>0.0</v>
      </c>
      <c r="C25" s="84">
        <f t="shared" ref="C25:D25" si="7">1*75*30</f>
        <v>2250</v>
      </c>
      <c r="D25" s="84">
        <f t="shared" si="7"/>
        <v>2250</v>
      </c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</row>
    <row r="26" ht="15.75" customHeight="1">
      <c r="A26" s="83" t="s">
        <v>77</v>
      </c>
      <c r="B26" s="84">
        <v>0.0</v>
      </c>
      <c r="C26" s="84">
        <f t="shared" ref="C26:D26" si="8">C25/0.1</f>
        <v>22500</v>
      </c>
      <c r="D26" s="84">
        <f t="shared" si="8"/>
        <v>22500</v>
      </c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</row>
    <row r="27" ht="15.75" customHeight="1">
      <c r="A27" s="75"/>
      <c r="B27" s="76" t="s">
        <v>43</v>
      </c>
      <c r="C27" s="80">
        <v>0.04</v>
      </c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</row>
    <row r="28" ht="15.75" customHeight="1">
      <c r="A28" s="81" t="s">
        <v>25</v>
      </c>
      <c r="B28" s="82" t="s">
        <v>25</v>
      </c>
      <c r="C28" s="82" t="s">
        <v>73</v>
      </c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</row>
    <row r="29" ht="15.75" customHeight="1">
      <c r="A29" s="83" t="s">
        <v>76</v>
      </c>
      <c r="B29" s="84">
        <f>(((1*75*30)+(1*75*30))*0.5)/2</f>
        <v>1125</v>
      </c>
      <c r="C29" s="84">
        <v>500.0</v>
      </c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</row>
    <row r="30" ht="15.75" customHeight="1">
      <c r="A30" s="83" t="s">
        <v>60</v>
      </c>
      <c r="B30" s="84">
        <f>((1*75*30)+(1*75*30))/2</f>
        <v>2250</v>
      </c>
      <c r="C30" s="84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</row>
    <row r="31" ht="15.75" customHeight="1">
      <c r="A31" s="83" t="s">
        <v>77</v>
      </c>
      <c r="B31" s="84">
        <f>B30/0.05</f>
        <v>45000</v>
      </c>
      <c r="C31" s="84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</row>
    <row r="32" ht="15.75" customHeight="1">
      <c r="A32" s="75"/>
      <c r="B32" s="76" t="s">
        <v>43</v>
      </c>
      <c r="C32" s="87">
        <v>0.01</v>
      </c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</row>
    <row r="33" ht="15.75" customHeight="1">
      <c r="A33" s="81" t="s">
        <v>26</v>
      </c>
      <c r="B33" s="82" t="s">
        <v>80</v>
      </c>
      <c r="C33" s="82" t="s">
        <v>81</v>
      </c>
      <c r="D33" s="82" t="s">
        <v>82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</row>
    <row r="34" ht="15.75" customHeight="1">
      <c r="A34" s="83" t="s">
        <v>58</v>
      </c>
      <c r="B34" s="84">
        <v>2000.0</v>
      </c>
      <c r="C34" s="84">
        <v>500.0</v>
      </c>
      <c r="D34" s="84">
        <v>500.0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</row>
    <row r="35" ht="15.75" customHeight="1">
      <c r="A35" s="83" t="s">
        <v>83</v>
      </c>
      <c r="B35" s="84">
        <v>2000.0</v>
      </c>
      <c r="C35" s="84"/>
      <c r="D35" s="84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</row>
    <row r="36" ht="15.75" customHeight="1">
      <c r="A36" s="75"/>
      <c r="B36" s="76"/>
      <c r="C36" s="87">
        <v>0.04</v>
      </c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</row>
    <row r="37" ht="15.75" customHeight="1">
      <c r="A37" s="81" t="s">
        <v>27</v>
      </c>
      <c r="B37" s="82" t="s">
        <v>82</v>
      </c>
      <c r="C37" s="82" t="s">
        <v>84</v>
      </c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</row>
    <row r="38" ht="15.75" customHeight="1">
      <c r="A38" s="83" t="s">
        <v>58</v>
      </c>
      <c r="B38" s="84">
        <v>50.0</v>
      </c>
      <c r="C38" s="84">
        <v>1.0</v>
      </c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</row>
    <row r="39" ht="15.75" customHeight="1">
      <c r="A39" s="83" t="s">
        <v>60</v>
      </c>
      <c r="B39" s="84"/>
      <c r="C39" s="84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</row>
    <row r="40" ht="15.75" customHeight="1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</row>
    <row r="41" ht="15.75" customHeight="1">
      <c r="A41" s="81" t="s">
        <v>85</v>
      </c>
      <c r="B41" s="82" t="s">
        <v>86</v>
      </c>
      <c r="C41" s="76"/>
      <c r="D41" s="76"/>
      <c r="E41" s="76"/>
      <c r="F41" s="76"/>
      <c r="G41" s="76"/>
      <c r="H41" s="76"/>
      <c r="I41" s="76"/>
      <c r="J41" s="76"/>
      <c r="K41" s="76"/>
      <c r="L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</row>
    <row r="42" ht="15.75" customHeight="1">
      <c r="A42" s="83" t="s">
        <v>58</v>
      </c>
      <c r="B42" s="84">
        <v>0.0</v>
      </c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</row>
    <row r="43" ht="15.75" customHeight="1">
      <c r="A43" s="83" t="s">
        <v>60</v>
      </c>
      <c r="B43" s="84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</row>
    <row r="44" ht="15.75" customHeight="1">
      <c r="A44" s="75"/>
      <c r="B44" s="76" t="s">
        <v>43</v>
      </c>
      <c r="C44" s="87">
        <v>0.04</v>
      </c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</row>
    <row r="45" ht="15.75" customHeight="1">
      <c r="A45" s="81" t="s">
        <v>87</v>
      </c>
      <c r="B45" s="82" t="s">
        <v>88</v>
      </c>
      <c r="C45" s="82" t="s">
        <v>89</v>
      </c>
      <c r="D45" s="82" t="s">
        <v>90</v>
      </c>
      <c r="E45" s="82" t="s">
        <v>91</v>
      </c>
      <c r="F45" s="82" t="s">
        <v>92</v>
      </c>
      <c r="G45" s="82" t="s">
        <v>93</v>
      </c>
      <c r="H45" s="82" t="s">
        <v>94</v>
      </c>
      <c r="I45" s="82" t="s">
        <v>95</v>
      </c>
      <c r="J45" s="82" t="s">
        <v>96</v>
      </c>
      <c r="K45" s="88" t="s">
        <v>97</v>
      </c>
      <c r="L45" s="76"/>
      <c r="M45" s="76"/>
      <c r="N45" s="76"/>
      <c r="O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</row>
    <row r="46" ht="15.75" customHeight="1">
      <c r="A46" s="83" t="s">
        <v>76</v>
      </c>
      <c r="B46" s="84">
        <v>10000.0</v>
      </c>
      <c r="C46" s="84">
        <v>0.42</v>
      </c>
      <c r="D46" s="84">
        <v>0.2</v>
      </c>
      <c r="E46" s="84">
        <v>0.3</v>
      </c>
      <c r="F46" s="84">
        <v>0.3</v>
      </c>
      <c r="G46" s="84">
        <v>0.2</v>
      </c>
      <c r="H46" s="84">
        <v>0.21</v>
      </c>
      <c r="I46" s="84">
        <v>0.2</v>
      </c>
      <c r="J46" s="84">
        <v>0.2</v>
      </c>
      <c r="K46" s="84">
        <v>0.2</v>
      </c>
      <c r="L46" s="76"/>
      <c r="M46" s="76"/>
      <c r="N46" s="76"/>
      <c r="O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</row>
    <row r="47" ht="15.75" customHeight="1">
      <c r="A47" s="83" t="s">
        <v>60</v>
      </c>
      <c r="B47" s="84"/>
      <c r="C47" s="84">
        <v>100.0</v>
      </c>
      <c r="D47" s="84">
        <v>100.0</v>
      </c>
      <c r="E47" s="84">
        <v>100.0</v>
      </c>
      <c r="F47" s="84">
        <v>100.0</v>
      </c>
      <c r="G47" s="84">
        <v>100.0</v>
      </c>
      <c r="H47" s="84">
        <v>100.0</v>
      </c>
      <c r="I47" s="84">
        <v>100.0</v>
      </c>
      <c r="J47" s="84">
        <v>100.0</v>
      </c>
      <c r="K47" s="84">
        <v>100.0</v>
      </c>
      <c r="L47" s="76"/>
      <c r="M47" s="76"/>
      <c r="N47" s="76"/>
      <c r="O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</row>
    <row r="48" ht="15.75" customHeight="1">
      <c r="A48" s="75"/>
      <c r="B48" s="76"/>
      <c r="C48" s="87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</row>
    <row r="49" ht="15.7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</row>
    <row r="50" ht="15.7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</row>
    <row r="51" ht="15.7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</row>
    <row r="52" ht="15.7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</row>
    <row r="53" ht="15.75" customHeight="1">
      <c r="A53" s="75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</row>
    <row r="54" ht="15.75" customHeight="1">
      <c r="A54" s="75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</row>
    <row r="55" ht="15.75" customHeight="1">
      <c r="A55" s="75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</row>
    <row r="56" ht="15.75" customHeight="1">
      <c r="A56" s="75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</row>
    <row r="57" ht="15.75" customHeight="1">
      <c r="A57" s="75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</row>
    <row r="58" ht="15.75" customHeight="1">
      <c r="A58" s="75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</row>
    <row r="59" ht="15.75" customHeight="1">
      <c r="A59" s="75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</row>
    <row r="60" ht="15.75" customHeight="1">
      <c r="A60" s="75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</row>
    <row r="61" ht="15.75" customHeight="1">
      <c r="A61" s="75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</row>
    <row r="62" ht="15.75" customHeight="1">
      <c r="A62" s="75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</row>
    <row r="63" ht="15.75" customHeight="1">
      <c r="A63" s="75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</row>
    <row r="64" ht="15.75" customHeight="1">
      <c r="A64" s="75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</row>
    <row r="65" ht="15.75" customHeight="1">
      <c r="A65" s="75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</row>
    <row r="66" ht="15.75" customHeight="1">
      <c r="A66" s="75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</row>
    <row r="67" ht="15.75" customHeight="1">
      <c r="A67" s="75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</row>
    <row r="68" ht="15.75" customHeight="1">
      <c r="A68" s="75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</row>
    <row r="69" ht="15.75" customHeight="1">
      <c r="A69" s="75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</row>
    <row r="70" ht="15.75" customHeight="1">
      <c r="A70" s="75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</row>
    <row r="71" ht="15.75" customHeight="1">
      <c r="A71" s="75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</row>
    <row r="72" ht="15.75" customHeight="1">
      <c r="A72" s="75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</row>
    <row r="73" ht="15.75" customHeight="1">
      <c r="A73" s="75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</row>
    <row r="74" ht="15.75" customHeight="1">
      <c r="A74" s="75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</row>
    <row r="75" ht="15.75" customHeight="1">
      <c r="A75" s="75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</row>
    <row r="76" ht="15.75" customHeight="1">
      <c r="A76" s="75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</row>
    <row r="77" ht="15.75" customHeight="1">
      <c r="A77" s="75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</row>
    <row r="78" ht="15.75" customHeight="1">
      <c r="A78" s="75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</row>
    <row r="79" ht="15.75" customHeight="1">
      <c r="A79" s="75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</row>
    <row r="80" ht="15.75" customHeight="1">
      <c r="A80" s="75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</row>
    <row r="81" ht="15.75" customHeight="1">
      <c r="A81" s="75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</row>
    <row r="82" ht="15.75" customHeight="1">
      <c r="A82" s="75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</row>
    <row r="83" ht="15.75" customHeight="1">
      <c r="A83" s="75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</row>
    <row r="84" ht="15.75" customHeight="1">
      <c r="A84" s="75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</row>
    <row r="85" ht="15.75" customHeight="1">
      <c r="A85" s="75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</row>
    <row r="86" ht="15.75" customHeight="1">
      <c r="A86" s="75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</row>
    <row r="87" ht="15.75" customHeight="1">
      <c r="A87" s="75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</row>
    <row r="88" ht="15.75" customHeight="1">
      <c r="A88" s="75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</row>
    <row r="89" ht="15.75" customHeight="1">
      <c r="A89" s="75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</row>
    <row r="90" ht="15.75" customHeight="1">
      <c r="A90" s="75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</row>
    <row r="91" ht="15.75" customHeight="1">
      <c r="A91" s="75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</row>
    <row r="92" ht="15.75" customHeight="1">
      <c r="A92" s="75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</row>
    <row r="93" ht="15.75" customHeight="1">
      <c r="A93" s="75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</row>
    <row r="94" ht="15.75" customHeight="1">
      <c r="A94" s="75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</row>
    <row r="95" ht="15.75" customHeight="1">
      <c r="A95" s="75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</row>
    <row r="96" ht="15.75" customHeight="1">
      <c r="A96" s="75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</row>
    <row r="97" ht="15.75" customHeight="1">
      <c r="A97" s="75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</row>
    <row r="98" ht="15.75" customHeight="1">
      <c r="A98" s="75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</row>
    <row r="99" ht="15.75" customHeight="1">
      <c r="A99" s="75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</row>
    <row r="100" ht="15.75" customHeight="1">
      <c r="A100" s="75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</row>
    <row r="101" ht="15.75" customHeight="1">
      <c r="A101" s="75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</row>
    <row r="102" ht="15.75" customHeight="1">
      <c r="A102" s="75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</row>
    <row r="103" ht="15.75" customHeight="1">
      <c r="A103" s="75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</row>
    <row r="104" ht="15.75" customHeight="1">
      <c r="A104" s="75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</row>
    <row r="105" ht="15.75" customHeight="1">
      <c r="A105" s="75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</row>
    <row r="106" ht="15.75" customHeight="1">
      <c r="A106" s="75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</row>
    <row r="107" ht="15.75" customHeight="1">
      <c r="A107" s="75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</row>
    <row r="108" ht="15.75" customHeight="1">
      <c r="A108" s="75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</row>
    <row r="109" ht="15.75" customHeight="1">
      <c r="A109" s="75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</row>
    <row r="110" ht="15.75" customHeight="1">
      <c r="A110" s="75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</row>
    <row r="111" ht="15.75" customHeight="1">
      <c r="A111" s="75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</row>
    <row r="112" ht="15.75" customHeight="1">
      <c r="A112" s="75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</row>
    <row r="113" ht="15.75" customHeight="1">
      <c r="A113" s="75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</row>
    <row r="114" ht="15.75" customHeight="1">
      <c r="A114" s="75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</row>
    <row r="115" ht="15.75" customHeight="1">
      <c r="A115" s="75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</row>
    <row r="116" ht="15.75" customHeight="1">
      <c r="A116" s="75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</row>
    <row r="117" ht="15.75" customHeight="1">
      <c r="A117" s="75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</row>
    <row r="118" ht="15.75" customHeight="1">
      <c r="A118" s="75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</row>
    <row r="119" ht="15.75" customHeight="1">
      <c r="A119" s="75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</row>
    <row r="120" ht="15.75" customHeight="1">
      <c r="A120" s="75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</row>
    <row r="121" ht="15.75" customHeight="1">
      <c r="A121" s="75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</row>
    <row r="122" ht="15.75" customHeight="1">
      <c r="A122" s="75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</row>
    <row r="123" ht="15.75" customHeight="1">
      <c r="A123" s="75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</row>
    <row r="124" ht="15.75" customHeight="1">
      <c r="A124" s="75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</row>
    <row r="125" ht="15.75" customHeight="1">
      <c r="A125" s="75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</row>
    <row r="126" ht="15.75" customHeight="1">
      <c r="A126" s="75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</row>
    <row r="127" ht="15.75" customHeight="1">
      <c r="A127" s="75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</row>
    <row r="128" ht="15.75" customHeight="1">
      <c r="A128" s="75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</row>
    <row r="129" ht="15.75" customHeight="1">
      <c r="A129" s="75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</row>
    <row r="130" ht="15.75" customHeight="1">
      <c r="A130" s="75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</row>
    <row r="131" ht="15.75" customHeight="1">
      <c r="A131" s="75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</row>
    <row r="132" ht="15.75" customHeight="1">
      <c r="A132" s="75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</row>
    <row r="133" ht="15.75" customHeight="1">
      <c r="A133" s="75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</row>
    <row r="134" ht="15.75" customHeight="1">
      <c r="A134" s="75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</row>
    <row r="135" ht="15.75" customHeight="1">
      <c r="A135" s="75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</row>
    <row r="136" ht="15.75" customHeight="1">
      <c r="A136" s="75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</row>
    <row r="137" ht="15.75" customHeight="1">
      <c r="A137" s="75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</row>
    <row r="138" ht="15.75" customHeight="1">
      <c r="A138" s="75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</row>
    <row r="139" ht="15.75" customHeight="1">
      <c r="A139" s="75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</row>
    <row r="140" ht="15.75" customHeight="1">
      <c r="A140" s="75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</row>
    <row r="141" ht="15.75" customHeight="1">
      <c r="A141" s="75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</row>
    <row r="142" ht="15.75" customHeight="1">
      <c r="A142" s="75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</row>
    <row r="143" ht="15.75" customHeight="1">
      <c r="A143" s="75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</row>
    <row r="144" ht="15.75" customHeight="1">
      <c r="A144" s="75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</row>
    <row r="145" ht="15.75" customHeight="1">
      <c r="A145" s="75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</row>
    <row r="146" ht="15.75" customHeight="1">
      <c r="A146" s="75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</row>
    <row r="147" ht="15.75" customHeight="1">
      <c r="A147" s="75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</row>
    <row r="148" ht="15.75" customHeight="1">
      <c r="A148" s="75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</row>
    <row r="149" ht="15.75" customHeight="1">
      <c r="A149" s="75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</row>
    <row r="150" ht="15.75" customHeight="1">
      <c r="A150" s="75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</row>
    <row r="151" ht="15.75" customHeight="1">
      <c r="A151" s="75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</row>
    <row r="152" ht="15.75" customHeight="1">
      <c r="A152" s="75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</row>
    <row r="153" ht="15.75" customHeight="1">
      <c r="A153" s="75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</row>
    <row r="154" ht="15.75" customHeight="1">
      <c r="A154" s="75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</row>
    <row r="155" ht="15.75" customHeight="1">
      <c r="A155" s="75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</row>
    <row r="156" ht="15.75" customHeight="1">
      <c r="A156" s="75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</row>
    <row r="157" ht="15.75" customHeight="1">
      <c r="A157" s="75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</row>
    <row r="158" ht="15.75" customHeight="1">
      <c r="A158" s="75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</row>
    <row r="159" ht="15.75" customHeight="1">
      <c r="A159" s="75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</row>
    <row r="160" ht="15.75" customHeight="1">
      <c r="A160" s="75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</row>
    <row r="161" ht="15.75" customHeight="1">
      <c r="A161" s="75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</row>
    <row r="162" ht="15.75" customHeight="1">
      <c r="A162" s="75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</row>
    <row r="163" ht="15.75" customHeight="1">
      <c r="A163" s="75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</row>
    <row r="164" ht="15.75" customHeight="1">
      <c r="A164" s="75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</row>
    <row r="165" ht="15.75" customHeight="1">
      <c r="A165" s="75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</row>
    <row r="166" ht="15.75" customHeight="1">
      <c r="A166" s="75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</row>
    <row r="167" ht="15.75" customHeight="1">
      <c r="A167" s="75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</row>
    <row r="168" ht="15.75" customHeight="1">
      <c r="A168" s="75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</row>
    <row r="169" ht="15.75" customHeight="1">
      <c r="A169" s="75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</row>
    <row r="170" ht="15.75" customHeight="1">
      <c r="A170" s="75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</row>
    <row r="171" ht="15.75" customHeight="1">
      <c r="A171" s="75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</row>
    <row r="172" ht="15.75" customHeight="1">
      <c r="A172" s="75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</row>
    <row r="173" ht="15.75" customHeight="1">
      <c r="A173" s="75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</row>
    <row r="174" ht="15.75" customHeight="1">
      <c r="A174" s="75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</row>
    <row r="175" ht="15.75" customHeight="1">
      <c r="A175" s="75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</row>
    <row r="176" ht="15.75" customHeight="1">
      <c r="A176" s="75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</row>
    <row r="177" ht="15.75" customHeight="1">
      <c r="A177" s="75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</row>
    <row r="178" ht="15.75" customHeight="1">
      <c r="A178" s="75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</row>
    <row r="179" ht="15.75" customHeight="1">
      <c r="A179" s="75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</row>
    <row r="180" ht="15.75" customHeight="1">
      <c r="A180" s="75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</row>
    <row r="181" ht="15.75" customHeight="1">
      <c r="A181" s="75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</row>
    <row r="182" ht="15.75" customHeight="1">
      <c r="A182" s="75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</row>
    <row r="183" ht="15.75" customHeight="1">
      <c r="A183" s="75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</row>
    <row r="184" ht="15.75" customHeight="1">
      <c r="A184" s="75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</row>
    <row r="185" ht="15.75" customHeight="1">
      <c r="A185" s="75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</row>
    <row r="186" ht="15.75" customHeight="1">
      <c r="A186" s="75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</row>
    <row r="187" ht="15.75" customHeight="1">
      <c r="A187" s="75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</row>
    <row r="188" ht="15.75" customHeight="1">
      <c r="A188" s="75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</row>
    <row r="189" ht="15.75" customHeight="1">
      <c r="A189" s="75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</row>
    <row r="190" ht="15.75" customHeight="1">
      <c r="A190" s="75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</row>
    <row r="191" ht="15.75" customHeight="1">
      <c r="A191" s="75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</row>
    <row r="192" ht="15.75" customHeight="1">
      <c r="A192" s="75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</row>
    <row r="193" ht="15.75" customHeight="1">
      <c r="A193" s="75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</row>
    <row r="194" ht="15.75" customHeight="1">
      <c r="A194" s="75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</row>
    <row r="195" ht="15.75" customHeight="1">
      <c r="A195" s="75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</row>
    <row r="196" ht="15.75" customHeight="1">
      <c r="A196" s="75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</row>
    <row r="197" ht="15.75" customHeight="1">
      <c r="A197" s="75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</row>
    <row r="198" ht="15.75" customHeight="1">
      <c r="A198" s="75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</row>
    <row r="199" ht="15.75" customHeight="1">
      <c r="A199" s="75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</row>
    <row r="200" ht="15.75" customHeight="1">
      <c r="A200" s="75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</row>
    <row r="201" ht="15.75" customHeight="1">
      <c r="A201" s="75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</row>
    <row r="202" ht="15.75" customHeight="1">
      <c r="A202" s="75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</row>
    <row r="203" ht="15.75" customHeight="1">
      <c r="A203" s="75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</row>
    <row r="204" ht="15.75" customHeight="1">
      <c r="A204" s="75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</row>
    <row r="205" ht="15.75" customHeight="1">
      <c r="A205" s="75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</row>
    <row r="206" ht="15.75" customHeight="1">
      <c r="A206" s="75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</row>
    <row r="207" ht="15.75" customHeight="1">
      <c r="A207" s="75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</row>
    <row r="208" ht="15.75" customHeight="1">
      <c r="A208" s="75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</row>
    <row r="209" ht="15.75" customHeight="1">
      <c r="A209" s="75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</row>
    <row r="210" ht="15.75" customHeight="1">
      <c r="A210" s="75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</row>
    <row r="211" ht="15.75" customHeight="1">
      <c r="A211" s="75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</row>
    <row r="212" ht="15.75" customHeight="1">
      <c r="A212" s="75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</row>
    <row r="213" ht="15.75" customHeight="1">
      <c r="A213" s="75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</row>
    <row r="214" ht="15.75" customHeight="1">
      <c r="A214" s="75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</row>
    <row r="215" ht="15.75" customHeight="1">
      <c r="A215" s="75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</row>
    <row r="216" ht="15.75" customHeight="1">
      <c r="A216" s="75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</row>
    <row r="217" ht="15.75" customHeight="1">
      <c r="A217" s="75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</row>
    <row r="218" ht="15.75" customHeight="1">
      <c r="A218" s="75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</row>
    <row r="219" ht="15.75" customHeight="1">
      <c r="A219" s="75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</row>
    <row r="220" ht="15.75" customHeight="1">
      <c r="A220" s="75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</row>
    <row r="221" ht="15.75" customHeight="1">
      <c r="A221" s="75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</row>
    <row r="222" ht="15.75" customHeight="1">
      <c r="A222" s="75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</row>
    <row r="223" ht="15.75" customHeight="1">
      <c r="A223" s="75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</row>
    <row r="224" ht="15.75" customHeight="1">
      <c r="A224" s="75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</row>
    <row r="225" ht="15.75" customHeight="1">
      <c r="A225" s="75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</row>
    <row r="226" ht="15.75" customHeight="1">
      <c r="A226" s="75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</row>
    <row r="227" ht="15.75" customHeight="1">
      <c r="A227" s="75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</row>
    <row r="228" ht="15.75" customHeight="1">
      <c r="A228" s="75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</row>
    <row r="229" ht="15.75" customHeight="1">
      <c r="A229" s="75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</row>
    <row r="230" ht="15.75" customHeight="1">
      <c r="A230" s="75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</row>
    <row r="231" ht="15.75" customHeight="1">
      <c r="A231" s="75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</row>
    <row r="232" ht="15.75" customHeight="1">
      <c r="A232" s="75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</row>
    <row r="233" ht="15.75" customHeight="1">
      <c r="A233" s="75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</row>
    <row r="234" ht="15.75" customHeight="1">
      <c r="A234" s="75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</row>
    <row r="235" ht="15.75" customHeight="1">
      <c r="A235" s="75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</row>
    <row r="236" ht="15.75" customHeight="1">
      <c r="A236" s="75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</row>
    <row r="237" ht="15.75" customHeight="1">
      <c r="A237" s="75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</row>
    <row r="238" ht="15.75" customHeight="1">
      <c r="A238" s="75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</row>
    <row r="239" ht="15.75" customHeight="1">
      <c r="A239" s="75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</row>
    <row r="240" ht="15.75" customHeight="1">
      <c r="A240" s="75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</row>
    <row r="241" ht="15.75" customHeight="1">
      <c r="A241" s="75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</row>
    <row r="242" ht="15.75" customHeight="1">
      <c r="A242" s="75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</row>
    <row r="243" ht="15.75" customHeight="1">
      <c r="A243" s="75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</row>
    <row r="244" ht="15.75" customHeight="1">
      <c r="A244" s="75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</row>
    <row r="245" ht="15.75" customHeight="1">
      <c r="A245" s="75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</row>
    <row r="246" ht="15.75" customHeight="1">
      <c r="A246" s="75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</row>
    <row r="247" ht="15.75" customHeight="1">
      <c r="A247" s="75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</row>
    <row r="248" ht="15.75" customHeight="1">
      <c r="A248" s="75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</row>
    <row r="249" ht="15.75" customHeight="1">
      <c r="A249" s="75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</row>
    <row r="250" ht="15.75" customHeight="1">
      <c r="A250" s="75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</row>
    <row r="251" ht="15.75" customHeight="1">
      <c r="A251" s="75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</row>
    <row r="252" ht="15.75" customHeight="1">
      <c r="A252" s="75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</row>
    <row r="253" ht="15.75" customHeight="1">
      <c r="A253" s="75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</row>
    <row r="254" ht="15.75" customHeight="1">
      <c r="A254" s="75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</row>
    <row r="255" ht="15.75" customHeight="1">
      <c r="A255" s="75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</row>
    <row r="256" ht="15.75" customHeight="1">
      <c r="A256" s="75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</row>
    <row r="257" ht="15.75" customHeight="1">
      <c r="A257" s="75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</row>
    <row r="258" ht="15.75" customHeight="1">
      <c r="A258" s="75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</row>
    <row r="259" ht="15.75" customHeight="1">
      <c r="A259" s="75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</row>
    <row r="260" ht="15.75" customHeight="1">
      <c r="A260" s="75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</row>
    <row r="261" ht="15.75" customHeight="1">
      <c r="A261" s="75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</row>
    <row r="262" ht="15.75" customHeight="1">
      <c r="A262" s="75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</row>
    <row r="263" ht="15.75" customHeight="1">
      <c r="A263" s="75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</row>
    <row r="264" ht="15.75" customHeight="1">
      <c r="A264" s="75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</row>
    <row r="265" ht="15.75" customHeight="1">
      <c r="A265" s="75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</row>
    <row r="266" ht="15.75" customHeight="1">
      <c r="A266" s="75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</row>
    <row r="267" ht="15.75" customHeight="1">
      <c r="A267" s="75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</row>
    <row r="268" ht="15.75" customHeight="1">
      <c r="A268" s="75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</row>
    <row r="269" ht="15.75" customHeight="1">
      <c r="A269" s="75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</row>
    <row r="270" ht="15.75" customHeight="1">
      <c r="A270" s="75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</row>
    <row r="271" ht="15.75" customHeight="1">
      <c r="A271" s="75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</row>
    <row r="272" ht="15.75" customHeight="1">
      <c r="A272" s="75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</row>
    <row r="273" ht="15.75" customHeight="1">
      <c r="A273" s="75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</row>
    <row r="274" ht="15.75" customHeight="1">
      <c r="A274" s="75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</row>
    <row r="275" ht="15.75" customHeight="1">
      <c r="A275" s="75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</row>
    <row r="276" ht="15.75" customHeight="1">
      <c r="A276" s="75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</row>
    <row r="277" ht="15.75" customHeight="1">
      <c r="A277" s="75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</row>
    <row r="278" ht="15.75" customHeight="1">
      <c r="A278" s="75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</row>
    <row r="279" ht="15.75" customHeight="1">
      <c r="A279" s="75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</row>
    <row r="280" ht="15.75" customHeight="1">
      <c r="A280" s="75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</row>
    <row r="281" ht="15.75" customHeight="1">
      <c r="A281" s="75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</row>
    <row r="282" ht="15.75" customHeight="1">
      <c r="A282" s="75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</row>
    <row r="283" ht="15.75" customHeight="1">
      <c r="A283" s="75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</row>
    <row r="284" ht="15.75" customHeight="1">
      <c r="A284" s="75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</row>
    <row r="285" ht="15.75" customHeight="1">
      <c r="A285" s="75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</row>
    <row r="286" ht="15.75" customHeight="1">
      <c r="A286" s="75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</row>
    <row r="287" ht="15.75" customHeight="1">
      <c r="A287" s="75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</row>
    <row r="288" ht="15.75" customHeight="1">
      <c r="A288" s="75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</row>
    <row r="289" ht="15.75" customHeight="1">
      <c r="A289" s="75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</row>
    <row r="290" ht="15.75" customHeight="1">
      <c r="A290" s="75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</row>
    <row r="291" ht="15.75" customHeight="1">
      <c r="A291" s="75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</row>
    <row r="292" ht="15.75" customHeight="1">
      <c r="A292" s="75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</row>
    <row r="293" ht="15.75" customHeight="1">
      <c r="A293" s="75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</row>
    <row r="294" ht="15.75" customHeight="1">
      <c r="A294" s="75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</row>
    <row r="295" ht="15.75" customHeight="1">
      <c r="A295" s="75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</row>
    <row r="296" ht="15.75" customHeight="1">
      <c r="A296" s="75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</row>
    <row r="297" ht="15.75" customHeight="1">
      <c r="A297" s="75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</row>
    <row r="298" ht="15.75" customHeight="1">
      <c r="A298" s="75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</row>
    <row r="299" ht="15.75" customHeight="1">
      <c r="A299" s="75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</row>
    <row r="300" ht="15.75" customHeight="1">
      <c r="A300" s="75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</row>
    <row r="301" ht="15.75" customHeight="1">
      <c r="A301" s="75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</row>
    <row r="302" ht="15.75" customHeight="1">
      <c r="A302" s="75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</row>
    <row r="303" ht="15.75" customHeight="1">
      <c r="A303" s="75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</row>
    <row r="304" ht="15.75" customHeight="1">
      <c r="A304" s="75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</row>
    <row r="305" ht="15.75" customHeight="1">
      <c r="A305" s="75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</row>
    <row r="306" ht="15.75" customHeight="1">
      <c r="A306" s="75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</row>
    <row r="307" ht="15.75" customHeight="1">
      <c r="A307" s="75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</row>
    <row r="308" ht="15.75" customHeight="1">
      <c r="A308" s="75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</row>
    <row r="309" ht="15.75" customHeight="1">
      <c r="A309" s="75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</row>
    <row r="310" ht="15.75" customHeight="1">
      <c r="A310" s="75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</row>
    <row r="311" ht="15.75" customHeight="1">
      <c r="A311" s="75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</row>
    <row r="312" ht="15.75" customHeight="1">
      <c r="A312" s="75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</row>
    <row r="313" ht="15.75" customHeight="1">
      <c r="A313" s="75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</row>
    <row r="314" ht="15.75" customHeight="1">
      <c r="A314" s="75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</row>
    <row r="315" ht="15.75" customHeight="1">
      <c r="A315" s="75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</row>
    <row r="316" ht="15.75" customHeight="1">
      <c r="A316" s="75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</row>
    <row r="317" ht="15.75" customHeight="1">
      <c r="A317" s="75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</row>
    <row r="318" ht="15.75" customHeight="1">
      <c r="A318" s="75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</row>
    <row r="319" ht="15.75" customHeight="1">
      <c r="A319" s="75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</row>
    <row r="320" ht="15.75" customHeight="1">
      <c r="A320" s="75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</row>
    <row r="321" ht="15.75" customHeight="1">
      <c r="A321" s="75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</row>
    <row r="322" ht="15.75" customHeight="1">
      <c r="A322" s="75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</row>
    <row r="323" ht="15.75" customHeight="1">
      <c r="A323" s="75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</row>
    <row r="324" ht="15.75" customHeight="1">
      <c r="A324" s="75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</row>
    <row r="325" ht="15.75" customHeight="1">
      <c r="A325" s="75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</row>
    <row r="326" ht="15.75" customHeight="1">
      <c r="A326" s="75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</row>
    <row r="327" ht="15.75" customHeight="1">
      <c r="A327" s="75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</row>
    <row r="328" ht="15.75" customHeight="1">
      <c r="A328" s="75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</row>
    <row r="329" ht="15.75" customHeight="1">
      <c r="A329" s="75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</row>
    <row r="330" ht="15.75" customHeight="1">
      <c r="A330" s="75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</row>
    <row r="331" ht="15.75" customHeight="1">
      <c r="A331" s="75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</row>
    <row r="332" ht="15.75" customHeight="1">
      <c r="A332" s="75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</row>
    <row r="333" ht="15.75" customHeight="1">
      <c r="A333" s="75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</row>
    <row r="334" ht="15.75" customHeight="1">
      <c r="A334" s="75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</row>
    <row r="335" ht="15.75" customHeight="1">
      <c r="A335" s="75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</row>
    <row r="336" ht="15.75" customHeight="1">
      <c r="A336" s="75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</row>
    <row r="337" ht="15.75" customHeight="1">
      <c r="A337" s="75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</row>
    <row r="338" ht="15.75" customHeight="1">
      <c r="A338" s="75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</row>
    <row r="339" ht="15.75" customHeight="1">
      <c r="A339" s="75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</row>
    <row r="340" ht="15.75" customHeight="1">
      <c r="A340" s="75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</row>
    <row r="341" ht="15.75" customHeight="1">
      <c r="A341" s="75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</row>
    <row r="342" ht="15.75" customHeight="1">
      <c r="A342" s="75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</row>
    <row r="343" ht="15.75" customHeight="1">
      <c r="A343" s="75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</row>
    <row r="344" ht="15.75" customHeight="1">
      <c r="A344" s="75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</row>
    <row r="345" ht="15.75" customHeight="1">
      <c r="A345" s="75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</row>
    <row r="346" ht="15.75" customHeight="1">
      <c r="A346" s="75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</row>
    <row r="347" ht="15.75" customHeight="1">
      <c r="A347" s="75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</row>
    <row r="348" ht="15.75" customHeight="1">
      <c r="A348" s="75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</row>
    <row r="349" ht="15.75" customHeight="1">
      <c r="A349" s="75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</row>
    <row r="350" ht="15.75" customHeight="1">
      <c r="A350" s="75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</row>
    <row r="351" ht="15.75" customHeight="1">
      <c r="A351" s="75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</row>
    <row r="352" ht="15.75" customHeight="1">
      <c r="A352" s="75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</row>
    <row r="353" ht="15.75" customHeight="1">
      <c r="A353" s="75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</row>
    <row r="354" ht="15.75" customHeight="1">
      <c r="A354" s="75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</row>
    <row r="355" ht="15.75" customHeight="1">
      <c r="A355" s="75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</row>
    <row r="356" ht="15.75" customHeight="1">
      <c r="A356" s="75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</row>
    <row r="357" ht="15.75" customHeight="1">
      <c r="A357" s="75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</row>
    <row r="358" ht="15.75" customHeight="1">
      <c r="A358" s="75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</row>
    <row r="359" ht="15.75" customHeight="1">
      <c r="A359" s="75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</row>
    <row r="360" ht="15.75" customHeight="1">
      <c r="A360" s="75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</row>
    <row r="361" ht="15.75" customHeight="1">
      <c r="A361" s="75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</row>
    <row r="362" ht="15.75" customHeight="1">
      <c r="A362" s="75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</row>
    <row r="363" ht="15.75" customHeight="1">
      <c r="A363" s="75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</row>
    <row r="364" ht="15.75" customHeight="1">
      <c r="A364" s="75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</row>
    <row r="365" ht="15.75" customHeight="1">
      <c r="A365" s="75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</row>
    <row r="366" ht="15.75" customHeight="1">
      <c r="A366" s="75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</row>
    <row r="367" ht="15.75" customHeight="1">
      <c r="A367" s="75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</row>
    <row r="368" ht="15.75" customHeight="1">
      <c r="A368" s="75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</row>
    <row r="369" ht="15.75" customHeight="1">
      <c r="A369" s="75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</row>
    <row r="370" ht="15.75" customHeight="1">
      <c r="A370" s="75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</row>
    <row r="371" ht="15.75" customHeight="1">
      <c r="A371" s="75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</row>
    <row r="372" ht="15.75" customHeight="1">
      <c r="A372" s="75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</row>
    <row r="373" ht="15.75" customHeight="1">
      <c r="A373" s="75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</row>
    <row r="374" ht="15.75" customHeight="1">
      <c r="A374" s="75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</row>
    <row r="375" ht="15.75" customHeight="1">
      <c r="A375" s="75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</row>
    <row r="376" ht="15.75" customHeight="1">
      <c r="A376" s="75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</row>
    <row r="377" ht="15.75" customHeight="1">
      <c r="A377" s="75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</row>
    <row r="378" ht="15.75" customHeight="1">
      <c r="A378" s="75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</row>
    <row r="379" ht="15.75" customHeight="1">
      <c r="A379" s="75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</row>
    <row r="380" ht="15.75" customHeight="1">
      <c r="A380" s="75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</row>
    <row r="381" ht="15.75" customHeight="1">
      <c r="A381" s="75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</row>
    <row r="382" ht="15.75" customHeight="1">
      <c r="A382" s="75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</row>
    <row r="383" ht="15.75" customHeight="1">
      <c r="A383" s="75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</row>
    <row r="384" ht="15.75" customHeight="1">
      <c r="A384" s="75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</row>
    <row r="385" ht="15.75" customHeight="1">
      <c r="A385" s="75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</row>
    <row r="386" ht="15.75" customHeight="1">
      <c r="A386" s="75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</row>
    <row r="387" ht="15.75" customHeight="1">
      <c r="A387" s="75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</row>
    <row r="388" ht="15.75" customHeight="1">
      <c r="A388" s="75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</row>
    <row r="389" ht="15.75" customHeight="1">
      <c r="A389" s="75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</row>
    <row r="390" ht="15.75" customHeight="1">
      <c r="A390" s="75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</row>
    <row r="391" ht="15.75" customHeight="1">
      <c r="A391" s="75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</row>
    <row r="392" ht="15.75" customHeight="1">
      <c r="A392" s="75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</row>
    <row r="393" ht="15.75" customHeight="1">
      <c r="A393" s="75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</row>
    <row r="394" ht="15.75" customHeight="1">
      <c r="A394" s="75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</row>
    <row r="395" ht="15.75" customHeight="1">
      <c r="A395" s="75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</row>
    <row r="396" ht="15.75" customHeight="1">
      <c r="A396" s="75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</row>
    <row r="397" ht="15.75" customHeight="1">
      <c r="A397" s="75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</row>
    <row r="398" ht="15.75" customHeight="1">
      <c r="A398" s="75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</row>
    <row r="399" ht="15.75" customHeight="1">
      <c r="A399" s="75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</row>
    <row r="400" ht="15.75" customHeight="1">
      <c r="A400" s="75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</row>
    <row r="401" ht="15.75" customHeight="1">
      <c r="A401" s="75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</row>
    <row r="402" ht="15.75" customHeight="1">
      <c r="A402" s="75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</row>
    <row r="403" ht="15.75" customHeight="1">
      <c r="A403" s="75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</row>
    <row r="404" ht="15.75" customHeight="1">
      <c r="A404" s="75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</row>
    <row r="405" ht="15.75" customHeight="1">
      <c r="A405" s="75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</row>
    <row r="406" ht="15.75" customHeight="1">
      <c r="A406" s="75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</row>
    <row r="407" ht="15.75" customHeight="1">
      <c r="A407" s="75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</row>
    <row r="408" ht="15.75" customHeight="1">
      <c r="A408" s="75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</row>
    <row r="409" ht="15.75" customHeight="1">
      <c r="A409" s="75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</row>
    <row r="410" ht="15.75" customHeight="1">
      <c r="A410" s="75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</row>
    <row r="411" ht="15.75" customHeight="1">
      <c r="A411" s="75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</row>
    <row r="412" ht="15.75" customHeight="1">
      <c r="A412" s="75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</row>
    <row r="413" ht="15.75" customHeight="1">
      <c r="A413" s="75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</row>
    <row r="414" ht="15.75" customHeight="1">
      <c r="A414" s="75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</row>
    <row r="415" ht="15.75" customHeight="1">
      <c r="A415" s="75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</row>
    <row r="416" ht="15.75" customHeight="1">
      <c r="A416" s="75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</row>
    <row r="417" ht="15.75" customHeight="1">
      <c r="A417" s="75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</row>
    <row r="418" ht="15.75" customHeight="1">
      <c r="A418" s="75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</row>
    <row r="419" ht="15.75" customHeight="1">
      <c r="A419" s="75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</row>
    <row r="420" ht="15.75" customHeight="1">
      <c r="A420" s="75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</row>
    <row r="421" ht="15.75" customHeight="1">
      <c r="A421" s="75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</row>
    <row r="422" ht="15.75" customHeight="1">
      <c r="A422" s="75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</row>
    <row r="423" ht="15.75" customHeight="1">
      <c r="A423" s="75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</row>
    <row r="424" ht="15.75" customHeight="1">
      <c r="A424" s="75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</row>
    <row r="425" ht="15.75" customHeight="1">
      <c r="A425" s="75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</row>
    <row r="426" ht="15.75" customHeight="1">
      <c r="A426" s="75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</row>
    <row r="427" ht="15.75" customHeight="1">
      <c r="A427" s="75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</row>
    <row r="428" ht="15.75" customHeight="1">
      <c r="A428" s="75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</row>
    <row r="429" ht="15.75" customHeight="1">
      <c r="A429" s="75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</row>
    <row r="430" ht="15.75" customHeight="1">
      <c r="A430" s="75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</row>
    <row r="431" ht="15.75" customHeight="1">
      <c r="A431" s="75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</row>
    <row r="432" ht="15.75" customHeight="1">
      <c r="A432" s="75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</row>
    <row r="433" ht="15.75" customHeight="1">
      <c r="A433" s="75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</row>
    <row r="434" ht="15.75" customHeight="1">
      <c r="A434" s="75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</row>
    <row r="435" ht="15.75" customHeight="1">
      <c r="A435" s="75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</row>
    <row r="436" ht="15.75" customHeight="1">
      <c r="A436" s="75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</row>
    <row r="437" ht="15.75" customHeight="1">
      <c r="A437" s="75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</row>
    <row r="438" ht="15.75" customHeight="1">
      <c r="A438" s="75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</row>
    <row r="439" ht="15.75" customHeight="1">
      <c r="A439" s="75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</row>
    <row r="440" ht="15.75" customHeight="1">
      <c r="A440" s="75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</row>
    <row r="441" ht="15.75" customHeight="1">
      <c r="A441" s="75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</row>
    <row r="442" ht="15.75" customHeight="1">
      <c r="A442" s="75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</row>
    <row r="443" ht="15.75" customHeight="1">
      <c r="A443" s="75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</row>
    <row r="444" ht="15.75" customHeight="1">
      <c r="A444" s="75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</row>
    <row r="445" ht="15.75" customHeight="1">
      <c r="A445" s="75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</row>
    <row r="446" ht="15.75" customHeight="1">
      <c r="A446" s="75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</row>
    <row r="447" ht="15.75" customHeight="1">
      <c r="A447" s="75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</row>
    <row r="448" ht="15.75" customHeight="1">
      <c r="A448" s="75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</row>
    <row r="449" ht="15.75" customHeight="1">
      <c r="A449" s="75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</row>
    <row r="450" ht="15.75" customHeight="1">
      <c r="A450" s="75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</row>
    <row r="451" ht="15.75" customHeight="1">
      <c r="A451" s="75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</row>
    <row r="452" ht="15.75" customHeight="1">
      <c r="A452" s="75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</row>
    <row r="453" ht="15.75" customHeight="1">
      <c r="A453" s="75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</row>
    <row r="454" ht="15.75" customHeight="1">
      <c r="A454" s="75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</row>
    <row r="455" ht="15.75" customHeight="1">
      <c r="A455" s="75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</row>
    <row r="456" ht="15.75" customHeight="1">
      <c r="A456" s="75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</row>
    <row r="457" ht="15.75" customHeight="1">
      <c r="A457" s="75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</row>
    <row r="458" ht="15.75" customHeight="1">
      <c r="A458" s="75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</row>
    <row r="459" ht="15.75" customHeight="1">
      <c r="A459" s="75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</row>
    <row r="460" ht="15.75" customHeight="1">
      <c r="A460" s="75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</row>
    <row r="461" ht="15.75" customHeight="1">
      <c r="A461" s="75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</row>
    <row r="462" ht="15.75" customHeight="1">
      <c r="A462" s="75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</row>
    <row r="463" ht="15.75" customHeight="1">
      <c r="A463" s="75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</row>
    <row r="464" ht="15.75" customHeight="1">
      <c r="A464" s="75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</row>
    <row r="465" ht="15.75" customHeight="1">
      <c r="A465" s="75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</row>
    <row r="466" ht="15.75" customHeight="1">
      <c r="A466" s="75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</row>
    <row r="467" ht="15.75" customHeight="1">
      <c r="A467" s="75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</row>
    <row r="468" ht="15.75" customHeight="1">
      <c r="A468" s="75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</row>
    <row r="469" ht="15.75" customHeight="1">
      <c r="A469" s="75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</row>
    <row r="470" ht="15.75" customHeight="1">
      <c r="A470" s="75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</row>
    <row r="471" ht="15.75" customHeight="1">
      <c r="A471" s="75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</row>
    <row r="472" ht="15.75" customHeight="1">
      <c r="A472" s="75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</row>
    <row r="473" ht="15.75" customHeight="1">
      <c r="A473" s="75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</row>
    <row r="474" ht="15.75" customHeight="1">
      <c r="A474" s="75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</row>
    <row r="475" ht="15.75" customHeight="1">
      <c r="A475" s="75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</row>
    <row r="476" ht="15.75" customHeight="1">
      <c r="A476" s="75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</row>
    <row r="477" ht="15.75" customHeight="1">
      <c r="A477" s="75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</row>
    <row r="478" ht="15.75" customHeight="1">
      <c r="A478" s="75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</row>
    <row r="479" ht="15.75" customHeight="1">
      <c r="A479" s="75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</row>
    <row r="480" ht="15.75" customHeight="1">
      <c r="A480" s="75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</row>
    <row r="481" ht="15.75" customHeight="1">
      <c r="A481" s="75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</row>
    <row r="482" ht="15.75" customHeight="1">
      <c r="A482" s="75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</row>
    <row r="483" ht="15.75" customHeight="1">
      <c r="A483" s="75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</row>
    <row r="484" ht="15.75" customHeight="1">
      <c r="A484" s="75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</row>
    <row r="485" ht="15.75" customHeight="1">
      <c r="A485" s="75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</row>
    <row r="486" ht="15.75" customHeight="1">
      <c r="A486" s="75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</row>
    <row r="487" ht="15.75" customHeight="1">
      <c r="A487" s="75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</row>
    <row r="488" ht="15.75" customHeight="1">
      <c r="A488" s="75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</row>
    <row r="489" ht="15.75" customHeight="1">
      <c r="A489" s="75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</row>
    <row r="490" ht="15.75" customHeight="1">
      <c r="A490" s="75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</row>
    <row r="491" ht="15.75" customHeight="1">
      <c r="A491" s="75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</row>
    <row r="492" ht="15.75" customHeight="1">
      <c r="A492" s="75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</row>
    <row r="493" ht="15.75" customHeight="1">
      <c r="A493" s="75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</row>
    <row r="494" ht="15.75" customHeight="1">
      <c r="A494" s="75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</row>
    <row r="495" ht="15.75" customHeight="1">
      <c r="A495" s="75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</row>
    <row r="496" ht="15.75" customHeight="1">
      <c r="A496" s="75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</row>
    <row r="497" ht="15.75" customHeight="1">
      <c r="A497" s="75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</row>
    <row r="498" ht="15.75" customHeight="1">
      <c r="A498" s="75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</row>
    <row r="499" ht="15.75" customHeight="1">
      <c r="A499" s="75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</row>
    <row r="500" ht="15.75" customHeight="1">
      <c r="A500" s="75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</row>
    <row r="501" ht="15.75" customHeight="1">
      <c r="A501" s="75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</row>
    <row r="502" ht="15.75" customHeight="1">
      <c r="A502" s="75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</row>
    <row r="503" ht="15.75" customHeight="1">
      <c r="A503" s="75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</row>
    <row r="504" ht="15.75" customHeight="1">
      <c r="A504" s="75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</row>
    <row r="505" ht="15.75" customHeight="1">
      <c r="A505" s="75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</row>
    <row r="506" ht="15.75" customHeight="1">
      <c r="A506" s="75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</row>
    <row r="507" ht="15.75" customHeight="1">
      <c r="A507" s="75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</row>
    <row r="508" ht="15.75" customHeight="1">
      <c r="A508" s="75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</row>
    <row r="509" ht="15.75" customHeight="1">
      <c r="A509" s="75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</row>
    <row r="510" ht="15.75" customHeight="1">
      <c r="A510" s="75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</row>
    <row r="511" ht="15.75" customHeight="1">
      <c r="A511" s="75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</row>
    <row r="512" ht="15.75" customHeight="1">
      <c r="A512" s="75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</row>
    <row r="513" ht="15.75" customHeight="1">
      <c r="A513" s="75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</row>
    <row r="514" ht="15.75" customHeight="1">
      <c r="A514" s="75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</row>
    <row r="515" ht="15.75" customHeight="1">
      <c r="A515" s="75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</row>
    <row r="516" ht="15.75" customHeight="1">
      <c r="A516" s="75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</row>
    <row r="517" ht="15.75" customHeight="1">
      <c r="A517" s="75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</row>
    <row r="518" ht="15.75" customHeight="1">
      <c r="A518" s="75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</row>
    <row r="519" ht="15.75" customHeight="1">
      <c r="A519" s="75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</row>
    <row r="520" ht="15.75" customHeight="1">
      <c r="A520" s="75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</row>
    <row r="521" ht="15.75" customHeight="1">
      <c r="A521" s="75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</row>
    <row r="522" ht="15.75" customHeight="1">
      <c r="A522" s="75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</row>
    <row r="523" ht="15.75" customHeight="1">
      <c r="A523" s="75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</row>
    <row r="524" ht="15.75" customHeight="1">
      <c r="A524" s="75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</row>
    <row r="525" ht="15.75" customHeight="1">
      <c r="A525" s="75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</row>
    <row r="526" ht="15.75" customHeight="1">
      <c r="A526" s="75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</row>
    <row r="527" ht="15.75" customHeight="1">
      <c r="A527" s="75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</row>
    <row r="528" ht="15.75" customHeight="1">
      <c r="A528" s="75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</row>
    <row r="529" ht="15.75" customHeight="1">
      <c r="A529" s="75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</row>
    <row r="530" ht="15.75" customHeight="1">
      <c r="A530" s="75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</row>
    <row r="531" ht="15.75" customHeight="1">
      <c r="A531" s="75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</row>
    <row r="532" ht="15.75" customHeight="1">
      <c r="A532" s="75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</row>
    <row r="533" ht="15.75" customHeight="1">
      <c r="A533" s="75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</row>
    <row r="534" ht="15.75" customHeight="1">
      <c r="A534" s="75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</row>
    <row r="535" ht="15.75" customHeight="1">
      <c r="A535" s="75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</row>
    <row r="536" ht="15.75" customHeight="1">
      <c r="A536" s="75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</row>
    <row r="537" ht="15.75" customHeight="1">
      <c r="A537" s="75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</row>
    <row r="538" ht="15.75" customHeight="1">
      <c r="A538" s="75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</row>
    <row r="539" ht="15.75" customHeight="1">
      <c r="A539" s="75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</row>
    <row r="540" ht="15.75" customHeight="1">
      <c r="A540" s="75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</row>
    <row r="541" ht="15.75" customHeight="1">
      <c r="A541" s="75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</row>
    <row r="542" ht="15.75" customHeight="1">
      <c r="A542" s="75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</row>
    <row r="543" ht="15.75" customHeight="1">
      <c r="A543" s="75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</row>
    <row r="544" ht="15.75" customHeight="1">
      <c r="A544" s="75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</row>
    <row r="545" ht="15.75" customHeight="1">
      <c r="A545" s="75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</row>
    <row r="546" ht="15.75" customHeight="1">
      <c r="A546" s="75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</row>
    <row r="547" ht="15.75" customHeight="1">
      <c r="A547" s="75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</row>
    <row r="548" ht="15.75" customHeight="1">
      <c r="A548" s="75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</row>
    <row r="549" ht="15.75" customHeight="1">
      <c r="A549" s="75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</row>
    <row r="550" ht="15.75" customHeight="1">
      <c r="A550" s="75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</row>
    <row r="551" ht="15.75" customHeight="1">
      <c r="A551" s="75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</row>
    <row r="552" ht="15.75" customHeight="1">
      <c r="A552" s="75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</row>
    <row r="553" ht="15.75" customHeight="1">
      <c r="A553" s="75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</row>
    <row r="554" ht="15.75" customHeight="1">
      <c r="A554" s="75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</row>
    <row r="555" ht="15.75" customHeight="1">
      <c r="A555" s="75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</row>
    <row r="556" ht="15.75" customHeight="1">
      <c r="A556" s="75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</row>
    <row r="557" ht="15.75" customHeight="1">
      <c r="A557" s="75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</row>
    <row r="558" ht="15.75" customHeight="1">
      <c r="A558" s="75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</row>
    <row r="559" ht="15.75" customHeight="1">
      <c r="A559" s="75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</row>
    <row r="560" ht="15.75" customHeight="1">
      <c r="A560" s="75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</row>
    <row r="561" ht="15.75" customHeight="1">
      <c r="A561" s="75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</row>
    <row r="562" ht="15.75" customHeight="1">
      <c r="A562" s="75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</row>
    <row r="563" ht="15.75" customHeight="1">
      <c r="A563" s="75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</row>
    <row r="564" ht="15.75" customHeight="1">
      <c r="A564" s="75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</row>
    <row r="565" ht="15.75" customHeight="1">
      <c r="A565" s="75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</row>
    <row r="566" ht="15.75" customHeight="1">
      <c r="A566" s="75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</row>
    <row r="567" ht="15.75" customHeight="1">
      <c r="A567" s="75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</row>
    <row r="568" ht="15.75" customHeight="1">
      <c r="A568" s="75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</row>
    <row r="569" ht="15.75" customHeight="1">
      <c r="A569" s="75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</row>
    <row r="570" ht="15.75" customHeight="1">
      <c r="A570" s="75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</row>
    <row r="571" ht="15.75" customHeight="1">
      <c r="A571" s="75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</row>
    <row r="572" ht="15.75" customHeight="1">
      <c r="A572" s="75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</row>
    <row r="573" ht="15.75" customHeight="1">
      <c r="A573" s="75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</row>
    <row r="574" ht="15.75" customHeight="1">
      <c r="A574" s="75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</row>
    <row r="575" ht="15.75" customHeight="1">
      <c r="A575" s="75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</row>
    <row r="576" ht="15.75" customHeight="1">
      <c r="A576" s="75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</row>
    <row r="577" ht="15.75" customHeight="1">
      <c r="A577" s="75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</row>
    <row r="578" ht="15.75" customHeight="1">
      <c r="A578" s="75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</row>
    <row r="579" ht="15.75" customHeight="1">
      <c r="A579" s="75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</row>
    <row r="580" ht="15.75" customHeight="1">
      <c r="A580" s="75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</row>
    <row r="581" ht="15.75" customHeight="1">
      <c r="A581" s="75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</row>
    <row r="582" ht="15.75" customHeight="1">
      <c r="A582" s="75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</row>
    <row r="583" ht="15.75" customHeight="1">
      <c r="A583" s="75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</row>
    <row r="584" ht="15.75" customHeight="1">
      <c r="A584" s="75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</row>
    <row r="585" ht="15.75" customHeight="1">
      <c r="A585" s="75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</row>
    <row r="586" ht="15.75" customHeight="1">
      <c r="A586" s="75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</row>
    <row r="587" ht="15.75" customHeight="1">
      <c r="A587" s="75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</row>
    <row r="588" ht="15.75" customHeight="1">
      <c r="A588" s="75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</row>
    <row r="589" ht="15.75" customHeight="1">
      <c r="A589" s="75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</row>
    <row r="590" ht="15.75" customHeight="1">
      <c r="A590" s="75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</row>
    <row r="591" ht="15.75" customHeight="1">
      <c r="A591" s="75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</row>
    <row r="592" ht="15.75" customHeight="1">
      <c r="A592" s="75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</row>
    <row r="593" ht="15.75" customHeight="1">
      <c r="A593" s="75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</row>
    <row r="594" ht="15.75" customHeight="1">
      <c r="A594" s="75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</row>
    <row r="595" ht="15.75" customHeight="1">
      <c r="A595" s="75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</row>
    <row r="596" ht="15.75" customHeight="1">
      <c r="A596" s="75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</row>
    <row r="597" ht="15.75" customHeight="1">
      <c r="A597" s="75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</row>
    <row r="598" ht="15.75" customHeight="1">
      <c r="A598" s="75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</row>
    <row r="599" ht="15.75" customHeight="1">
      <c r="A599" s="75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</row>
    <row r="600" ht="15.75" customHeight="1">
      <c r="A600" s="75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</row>
    <row r="601" ht="15.75" customHeight="1">
      <c r="A601" s="75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</row>
    <row r="602" ht="15.75" customHeight="1">
      <c r="A602" s="75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</row>
    <row r="603" ht="15.75" customHeight="1">
      <c r="A603" s="75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</row>
    <row r="604" ht="15.75" customHeight="1">
      <c r="A604" s="75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</row>
    <row r="605" ht="15.75" customHeight="1">
      <c r="A605" s="75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</row>
    <row r="606" ht="15.75" customHeight="1">
      <c r="A606" s="75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</row>
    <row r="607" ht="15.75" customHeight="1">
      <c r="A607" s="75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</row>
    <row r="608" ht="15.75" customHeight="1">
      <c r="A608" s="75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</row>
    <row r="609" ht="15.75" customHeight="1">
      <c r="A609" s="75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</row>
    <row r="610" ht="15.75" customHeight="1">
      <c r="A610" s="75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</row>
    <row r="611" ht="15.75" customHeight="1">
      <c r="A611" s="75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</row>
    <row r="612" ht="15.75" customHeight="1">
      <c r="A612" s="75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</row>
    <row r="613" ht="15.75" customHeight="1">
      <c r="A613" s="75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</row>
    <row r="614" ht="15.75" customHeight="1">
      <c r="A614" s="75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</row>
    <row r="615" ht="15.75" customHeight="1">
      <c r="A615" s="75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</row>
    <row r="616" ht="15.75" customHeight="1">
      <c r="A616" s="75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</row>
    <row r="617" ht="15.75" customHeight="1">
      <c r="A617" s="75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</row>
    <row r="618" ht="15.75" customHeight="1">
      <c r="A618" s="75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</row>
    <row r="619" ht="15.75" customHeight="1">
      <c r="A619" s="75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</row>
    <row r="620" ht="15.75" customHeight="1">
      <c r="A620" s="75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</row>
    <row r="621" ht="15.75" customHeight="1">
      <c r="A621" s="75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</row>
    <row r="622" ht="15.75" customHeight="1">
      <c r="A622" s="75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</row>
    <row r="623" ht="15.75" customHeight="1">
      <c r="A623" s="75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</row>
    <row r="624" ht="15.75" customHeight="1">
      <c r="A624" s="75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</row>
    <row r="625" ht="15.75" customHeight="1">
      <c r="A625" s="75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</row>
    <row r="626" ht="15.75" customHeight="1">
      <c r="A626" s="75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</row>
    <row r="627" ht="15.75" customHeight="1">
      <c r="A627" s="75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</row>
    <row r="628" ht="15.75" customHeight="1">
      <c r="A628" s="75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</row>
    <row r="629" ht="15.75" customHeight="1">
      <c r="A629" s="75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</row>
    <row r="630" ht="15.75" customHeight="1">
      <c r="A630" s="75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</row>
    <row r="631" ht="15.75" customHeight="1">
      <c r="A631" s="75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</row>
    <row r="632" ht="15.75" customHeight="1">
      <c r="A632" s="75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</row>
    <row r="633" ht="15.75" customHeight="1">
      <c r="A633" s="75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</row>
    <row r="634" ht="15.75" customHeight="1">
      <c r="A634" s="75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</row>
    <row r="635" ht="15.75" customHeight="1">
      <c r="A635" s="75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</row>
    <row r="636" ht="15.75" customHeight="1">
      <c r="A636" s="75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</row>
    <row r="637" ht="15.75" customHeight="1">
      <c r="A637" s="75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</row>
    <row r="638" ht="15.75" customHeight="1">
      <c r="A638" s="75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</row>
    <row r="639" ht="15.75" customHeight="1">
      <c r="A639" s="75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</row>
    <row r="640" ht="15.75" customHeight="1">
      <c r="A640" s="75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</row>
    <row r="641" ht="15.75" customHeight="1">
      <c r="A641" s="75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</row>
    <row r="642" ht="15.75" customHeight="1">
      <c r="A642" s="75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</row>
    <row r="643" ht="15.75" customHeight="1">
      <c r="A643" s="75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</row>
    <row r="644" ht="15.75" customHeight="1">
      <c r="A644" s="75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</row>
    <row r="645" ht="15.75" customHeight="1">
      <c r="A645" s="75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</row>
    <row r="646" ht="15.75" customHeight="1">
      <c r="A646" s="75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</row>
    <row r="647" ht="15.75" customHeight="1">
      <c r="A647" s="75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</row>
    <row r="648" ht="15.75" customHeight="1">
      <c r="A648" s="75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</row>
    <row r="649" ht="15.75" customHeight="1">
      <c r="A649" s="75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</row>
    <row r="650" ht="15.75" customHeight="1">
      <c r="A650" s="75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</row>
    <row r="651" ht="15.75" customHeight="1">
      <c r="A651" s="75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</row>
    <row r="652" ht="15.75" customHeight="1">
      <c r="A652" s="75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</row>
    <row r="653" ht="15.75" customHeight="1">
      <c r="A653" s="75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</row>
    <row r="654" ht="15.75" customHeight="1">
      <c r="A654" s="75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</row>
    <row r="655" ht="15.75" customHeight="1">
      <c r="A655" s="75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</row>
    <row r="656" ht="15.75" customHeight="1">
      <c r="A656" s="75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</row>
    <row r="657" ht="15.75" customHeight="1">
      <c r="A657" s="75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</row>
    <row r="658" ht="15.75" customHeight="1">
      <c r="A658" s="75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</row>
    <row r="659" ht="15.75" customHeight="1">
      <c r="A659" s="75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</row>
    <row r="660" ht="15.75" customHeight="1">
      <c r="A660" s="75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</row>
    <row r="661" ht="15.75" customHeight="1">
      <c r="A661" s="75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</row>
    <row r="662" ht="15.75" customHeight="1">
      <c r="A662" s="75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</row>
    <row r="663" ht="15.75" customHeight="1">
      <c r="A663" s="75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</row>
    <row r="664" ht="15.75" customHeight="1">
      <c r="A664" s="75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</row>
    <row r="665" ht="15.75" customHeight="1">
      <c r="A665" s="75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</row>
    <row r="666" ht="15.75" customHeight="1">
      <c r="A666" s="75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</row>
    <row r="667" ht="15.75" customHeight="1">
      <c r="A667" s="75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</row>
    <row r="668" ht="15.75" customHeight="1">
      <c r="A668" s="75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</row>
    <row r="669" ht="15.75" customHeight="1">
      <c r="A669" s="75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</row>
    <row r="670" ht="15.75" customHeight="1">
      <c r="A670" s="75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</row>
    <row r="671" ht="15.75" customHeight="1">
      <c r="A671" s="75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</row>
    <row r="672" ht="15.75" customHeight="1">
      <c r="A672" s="75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</row>
    <row r="673" ht="15.75" customHeight="1">
      <c r="A673" s="75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</row>
    <row r="674" ht="15.75" customHeight="1">
      <c r="A674" s="75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</row>
    <row r="675" ht="15.75" customHeight="1">
      <c r="A675" s="75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</row>
    <row r="676" ht="15.75" customHeight="1">
      <c r="A676" s="75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</row>
    <row r="677" ht="15.75" customHeight="1">
      <c r="A677" s="75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</row>
    <row r="678" ht="15.75" customHeight="1">
      <c r="A678" s="75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</row>
    <row r="679" ht="15.75" customHeight="1">
      <c r="A679" s="75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</row>
    <row r="680" ht="15.75" customHeight="1">
      <c r="A680" s="75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</row>
    <row r="681" ht="15.75" customHeight="1">
      <c r="A681" s="75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</row>
    <row r="682" ht="15.75" customHeight="1">
      <c r="A682" s="75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</row>
    <row r="683" ht="15.75" customHeight="1">
      <c r="A683" s="75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</row>
    <row r="684" ht="15.75" customHeight="1">
      <c r="A684" s="75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</row>
    <row r="685" ht="15.75" customHeight="1">
      <c r="A685" s="75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</row>
    <row r="686" ht="15.75" customHeight="1">
      <c r="A686" s="75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</row>
    <row r="687" ht="15.75" customHeight="1">
      <c r="A687" s="75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</row>
    <row r="688" ht="15.75" customHeight="1">
      <c r="A688" s="75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</row>
    <row r="689" ht="15.75" customHeight="1">
      <c r="A689" s="75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</row>
    <row r="690" ht="15.75" customHeight="1">
      <c r="A690" s="75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</row>
    <row r="691" ht="15.75" customHeight="1">
      <c r="A691" s="75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</row>
    <row r="692" ht="15.75" customHeight="1">
      <c r="A692" s="75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</row>
    <row r="693" ht="15.75" customHeight="1">
      <c r="A693" s="75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</row>
    <row r="694" ht="15.75" customHeight="1">
      <c r="A694" s="75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</row>
    <row r="695" ht="15.75" customHeight="1">
      <c r="A695" s="75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</row>
    <row r="696" ht="15.75" customHeight="1">
      <c r="A696" s="75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</row>
    <row r="697" ht="15.75" customHeight="1">
      <c r="A697" s="75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</row>
    <row r="698" ht="15.75" customHeight="1">
      <c r="A698" s="75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</row>
    <row r="699" ht="15.75" customHeight="1">
      <c r="A699" s="75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</row>
    <row r="700" ht="15.75" customHeight="1">
      <c r="A700" s="75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</row>
    <row r="701" ht="15.75" customHeight="1">
      <c r="A701" s="75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</row>
    <row r="702" ht="15.75" customHeight="1">
      <c r="A702" s="75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</row>
    <row r="703" ht="15.75" customHeight="1">
      <c r="A703" s="75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</row>
    <row r="704" ht="15.75" customHeight="1">
      <c r="A704" s="75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</row>
    <row r="705" ht="15.75" customHeight="1">
      <c r="A705" s="75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</row>
    <row r="706" ht="15.75" customHeight="1">
      <c r="A706" s="75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</row>
    <row r="707" ht="15.75" customHeight="1">
      <c r="A707" s="75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</row>
    <row r="708" ht="15.75" customHeight="1">
      <c r="A708" s="75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</row>
    <row r="709" ht="15.75" customHeight="1">
      <c r="A709" s="75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</row>
    <row r="710" ht="15.75" customHeight="1">
      <c r="A710" s="75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</row>
    <row r="711" ht="15.75" customHeight="1">
      <c r="A711" s="75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</row>
    <row r="712" ht="15.75" customHeight="1">
      <c r="A712" s="75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</row>
    <row r="713" ht="15.75" customHeight="1">
      <c r="A713" s="75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</row>
    <row r="714" ht="15.75" customHeight="1">
      <c r="A714" s="75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</row>
    <row r="715" ht="15.75" customHeight="1">
      <c r="A715" s="75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</row>
    <row r="716" ht="15.75" customHeight="1">
      <c r="A716" s="75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</row>
    <row r="717" ht="15.75" customHeight="1">
      <c r="A717" s="75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</row>
    <row r="718" ht="15.75" customHeight="1">
      <c r="A718" s="75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</row>
    <row r="719" ht="15.75" customHeight="1">
      <c r="A719" s="75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</row>
    <row r="720" ht="15.75" customHeight="1">
      <c r="A720" s="75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</row>
    <row r="721" ht="15.75" customHeight="1">
      <c r="A721" s="75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</row>
    <row r="722" ht="15.75" customHeight="1">
      <c r="A722" s="75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</row>
    <row r="723" ht="15.75" customHeight="1">
      <c r="A723" s="75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</row>
    <row r="724" ht="15.75" customHeight="1">
      <c r="A724" s="75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</row>
    <row r="725" ht="15.75" customHeight="1">
      <c r="A725" s="75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</row>
    <row r="726" ht="15.75" customHeight="1">
      <c r="A726" s="75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</row>
    <row r="727" ht="15.75" customHeight="1">
      <c r="A727" s="75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</row>
    <row r="728" ht="15.75" customHeight="1">
      <c r="A728" s="75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</row>
    <row r="729" ht="15.75" customHeight="1">
      <c r="A729" s="75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</row>
    <row r="730" ht="15.75" customHeight="1">
      <c r="A730" s="75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</row>
    <row r="731" ht="15.75" customHeight="1">
      <c r="A731" s="75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</row>
    <row r="732" ht="15.75" customHeight="1">
      <c r="A732" s="75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</row>
    <row r="733" ht="15.75" customHeight="1">
      <c r="A733" s="75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</row>
    <row r="734" ht="15.75" customHeight="1">
      <c r="A734" s="75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</row>
    <row r="735" ht="15.75" customHeight="1">
      <c r="A735" s="75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</row>
    <row r="736" ht="15.75" customHeight="1">
      <c r="A736" s="75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</row>
    <row r="737" ht="15.75" customHeight="1">
      <c r="A737" s="75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</row>
    <row r="738" ht="15.75" customHeight="1">
      <c r="A738" s="75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</row>
    <row r="739" ht="15.75" customHeight="1">
      <c r="A739" s="75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</row>
    <row r="740" ht="15.75" customHeight="1">
      <c r="A740" s="75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</row>
    <row r="741" ht="15.75" customHeight="1">
      <c r="A741" s="75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</row>
    <row r="742" ht="15.75" customHeight="1">
      <c r="A742" s="75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</row>
    <row r="743" ht="15.75" customHeight="1">
      <c r="A743" s="75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</row>
    <row r="744" ht="15.75" customHeight="1">
      <c r="A744" s="75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</row>
    <row r="745" ht="15.75" customHeight="1">
      <c r="A745" s="75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</row>
    <row r="746" ht="15.75" customHeight="1">
      <c r="A746" s="75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</row>
    <row r="747" ht="15.75" customHeight="1">
      <c r="A747" s="75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</row>
    <row r="748" ht="15.75" customHeight="1">
      <c r="A748" s="75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</row>
    <row r="749" ht="15.75" customHeight="1">
      <c r="A749" s="75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</row>
    <row r="750" ht="15.75" customHeight="1">
      <c r="A750" s="75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</row>
    <row r="751" ht="15.75" customHeight="1">
      <c r="A751" s="75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</row>
    <row r="752" ht="15.75" customHeight="1">
      <c r="A752" s="75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</row>
    <row r="753" ht="15.75" customHeight="1">
      <c r="A753" s="75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</row>
    <row r="754" ht="15.75" customHeight="1">
      <c r="A754" s="75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</row>
    <row r="755" ht="15.75" customHeight="1">
      <c r="A755" s="75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</row>
    <row r="756" ht="15.75" customHeight="1">
      <c r="A756" s="75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</row>
    <row r="757" ht="15.75" customHeight="1">
      <c r="A757" s="75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</row>
    <row r="758" ht="15.75" customHeight="1">
      <c r="A758" s="75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</row>
    <row r="759" ht="15.75" customHeight="1">
      <c r="A759" s="75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</row>
    <row r="760" ht="15.75" customHeight="1">
      <c r="A760" s="75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</row>
    <row r="761" ht="15.75" customHeight="1">
      <c r="A761" s="75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</row>
    <row r="762" ht="15.75" customHeight="1">
      <c r="A762" s="75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</row>
    <row r="763" ht="15.75" customHeight="1">
      <c r="A763" s="75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</row>
    <row r="764" ht="15.75" customHeight="1">
      <c r="A764" s="75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</row>
    <row r="765" ht="15.75" customHeight="1">
      <c r="A765" s="75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</row>
    <row r="766" ht="15.75" customHeight="1">
      <c r="A766" s="75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</row>
    <row r="767" ht="15.75" customHeight="1">
      <c r="A767" s="75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</row>
    <row r="768" ht="15.75" customHeight="1">
      <c r="A768" s="75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</row>
    <row r="769" ht="15.75" customHeight="1">
      <c r="A769" s="75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</row>
    <row r="770" ht="15.75" customHeight="1">
      <c r="A770" s="75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</row>
    <row r="771" ht="15.75" customHeight="1">
      <c r="A771" s="75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</row>
    <row r="772" ht="15.75" customHeight="1">
      <c r="A772" s="75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</row>
    <row r="773" ht="15.75" customHeight="1">
      <c r="A773" s="75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</row>
    <row r="774" ht="15.75" customHeight="1">
      <c r="A774" s="75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</row>
    <row r="775" ht="15.75" customHeight="1">
      <c r="A775" s="75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</row>
    <row r="776" ht="15.75" customHeight="1">
      <c r="A776" s="75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</row>
    <row r="777" ht="15.75" customHeight="1">
      <c r="A777" s="75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</row>
    <row r="778" ht="15.75" customHeight="1">
      <c r="A778" s="75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</row>
    <row r="779" ht="15.75" customHeight="1">
      <c r="A779" s="75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</row>
    <row r="780" ht="15.75" customHeight="1">
      <c r="A780" s="75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</row>
    <row r="781" ht="15.75" customHeight="1">
      <c r="A781" s="75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</row>
    <row r="782" ht="15.75" customHeight="1">
      <c r="A782" s="75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</row>
    <row r="783" ht="15.75" customHeight="1">
      <c r="A783" s="75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</row>
    <row r="784" ht="15.75" customHeight="1">
      <c r="A784" s="75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</row>
    <row r="785" ht="15.75" customHeight="1">
      <c r="A785" s="75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</row>
    <row r="786" ht="15.75" customHeight="1">
      <c r="A786" s="75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</row>
    <row r="787" ht="15.75" customHeight="1">
      <c r="A787" s="75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</row>
    <row r="788" ht="15.75" customHeight="1">
      <c r="A788" s="75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</row>
    <row r="789" ht="15.75" customHeight="1">
      <c r="A789" s="75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</row>
    <row r="790" ht="15.75" customHeight="1">
      <c r="A790" s="75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</row>
    <row r="791" ht="15.75" customHeight="1">
      <c r="A791" s="75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</row>
    <row r="792" ht="15.75" customHeight="1">
      <c r="A792" s="75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</row>
    <row r="793" ht="15.75" customHeight="1">
      <c r="A793" s="75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</row>
    <row r="794" ht="15.75" customHeight="1">
      <c r="A794" s="75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</row>
    <row r="795" ht="15.75" customHeight="1">
      <c r="A795" s="75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</row>
    <row r="796" ht="15.75" customHeight="1">
      <c r="A796" s="75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</row>
    <row r="797" ht="15.75" customHeight="1">
      <c r="A797" s="75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</row>
    <row r="798" ht="15.75" customHeight="1">
      <c r="A798" s="75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</row>
    <row r="799" ht="15.75" customHeight="1">
      <c r="A799" s="75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</row>
    <row r="800" ht="15.75" customHeight="1">
      <c r="A800" s="75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</row>
    <row r="801" ht="15.75" customHeight="1">
      <c r="A801" s="75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</row>
    <row r="802" ht="15.75" customHeight="1">
      <c r="A802" s="75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</row>
    <row r="803" ht="15.75" customHeight="1">
      <c r="A803" s="75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</row>
    <row r="804" ht="15.75" customHeight="1">
      <c r="A804" s="75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</row>
    <row r="805" ht="15.75" customHeight="1">
      <c r="A805" s="75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</row>
    <row r="806" ht="15.75" customHeight="1">
      <c r="A806" s="75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</row>
    <row r="807" ht="15.75" customHeight="1">
      <c r="A807" s="75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</row>
    <row r="808" ht="15.75" customHeight="1">
      <c r="A808" s="75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</row>
    <row r="809" ht="15.75" customHeight="1">
      <c r="A809" s="75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</row>
    <row r="810" ht="15.75" customHeight="1">
      <c r="A810" s="75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</row>
    <row r="811" ht="15.75" customHeight="1">
      <c r="A811" s="75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</row>
    <row r="812" ht="15.75" customHeight="1">
      <c r="A812" s="75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</row>
    <row r="813" ht="15.75" customHeight="1">
      <c r="A813" s="75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</row>
    <row r="814" ht="15.75" customHeight="1">
      <c r="A814" s="75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</row>
    <row r="815" ht="15.75" customHeight="1">
      <c r="A815" s="75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</row>
    <row r="816" ht="15.75" customHeight="1">
      <c r="A816" s="75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</row>
    <row r="817" ht="15.75" customHeight="1">
      <c r="A817" s="75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</row>
    <row r="818" ht="15.75" customHeight="1">
      <c r="A818" s="75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</row>
    <row r="819" ht="15.75" customHeight="1">
      <c r="A819" s="75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</row>
    <row r="820" ht="15.75" customHeight="1">
      <c r="A820" s="75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</row>
    <row r="821" ht="15.75" customHeight="1">
      <c r="A821" s="75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</row>
    <row r="822" ht="15.75" customHeight="1">
      <c r="A822" s="75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</row>
    <row r="823" ht="15.75" customHeight="1">
      <c r="A823" s="75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</row>
    <row r="824" ht="15.75" customHeight="1">
      <c r="A824" s="75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</row>
    <row r="825" ht="15.75" customHeight="1">
      <c r="A825" s="75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</row>
    <row r="826" ht="15.75" customHeight="1">
      <c r="A826" s="75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</row>
    <row r="827" ht="15.75" customHeight="1">
      <c r="A827" s="75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</row>
    <row r="828" ht="15.75" customHeight="1">
      <c r="A828" s="75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</row>
    <row r="829" ht="15.75" customHeight="1">
      <c r="A829" s="75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</row>
    <row r="830" ht="15.75" customHeight="1">
      <c r="A830" s="75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</row>
    <row r="831" ht="15.75" customHeight="1">
      <c r="A831" s="75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</row>
    <row r="832" ht="15.75" customHeight="1">
      <c r="A832" s="75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</row>
    <row r="833" ht="15.75" customHeight="1">
      <c r="A833" s="75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</row>
    <row r="834" ht="15.75" customHeight="1">
      <c r="A834" s="75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</row>
    <row r="835" ht="15.75" customHeight="1">
      <c r="A835" s="75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</row>
    <row r="836" ht="15.75" customHeight="1">
      <c r="A836" s="75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</row>
    <row r="837" ht="15.75" customHeight="1">
      <c r="A837" s="75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</row>
    <row r="838" ht="15.75" customHeight="1">
      <c r="A838" s="75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</row>
    <row r="839" ht="15.75" customHeight="1">
      <c r="A839" s="75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</row>
    <row r="840" ht="15.75" customHeight="1">
      <c r="A840" s="75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</row>
    <row r="841" ht="15.75" customHeight="1">
      <c r="A841" s="75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</row>
    <row r="842" ht="15.75" customHeight="1">
      <c r="A842" s="75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</row>
    <row r="843" ht="15.75" customHeight="1">
      <c r="A843" s="75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</row>
    <row r="844" ht="15.75" customHeight="1">
      <c r="A844" s="75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</row>
    <row r="845" ht="15.75" customHeight="1">
      <c r="A845" s="75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</row>
    <row r="846" ht="15.75" customHeight="1">
      <c r="A846" s="75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</row>
    <row r="847" ht="15.75" customHeight="1">
      <c r="A847" s="75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</row>
    <row r="848" ht="15.75" customHeight="1">
      <c r="A848" s="75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</row>
    <row r="849" ht="15.75" customHeight="1">
      <c r="A849" s="75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</row>
    <row r="850" ht="15.75" customHeight="1">
      <c r="A850" s="75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</row>
    <row r="851" ht="15.75" customHeight="1">
      <c r="A851" s="75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</row>
    <row r="852" ht="15.75" customHeight="1">
      <c r="A852" s="75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</row>
    <row r="853" ht="15.75" customHeight="1">
      <c r="A853" s="75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</row>
    <row r="854" ht="15.75" customHeight="1">
      <c r="A854" s="75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</row>
    <row r="855" ht="15.75" customHeight="1">
      <c r="A855" s="75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</row>
    <row r="856" ht="15.75" customHeight="1">
      <c r="A856" s="75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</row>
    <row r="857" ht="15.75" customHeight="1">
      <c r="A857" s="75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</row>
    <row r="858" ht="15.75" customHeight="1">
      <c r="A858" s="75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</row>
    <row r="859" ht="15.75" customHeight="1">
      <c r="A859" s="75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</row>
    <row r="860" ht="15.75" customHeight="1">
      <c r="A860" s="75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</row>
    <row r="861" ht="15.75" customHeight="1">
      <c r="A861" s="75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</row>
    <row r="862" ht="15.75" customHeight="1">
      <c r="A862" s="75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</row>
    <row r="863" ht="15.75" customHeight="1">
      <c r="A863" s="75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</row>
    <row r="864" ht="15.75" customHeight="1">
      <c r="A864" s="75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</row>
    <row r="865" ht="15.75" customHeight="1">
      <c r="A865" s="75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</row>
    <row r="866" ht="15.75" customHeight="1">
      <c r="A866" s="75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</row>
    <row r="867" ht="15.75" customHeight="1">
      <c r="A867" s="75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</row>
    <row r="868" ht="15.75" customHeight="1">
      <c r="A868" s="75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</row>
    <row r="869" ht="15.75" customHeight="1">
      <c r="A869" s="75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</row>
    <row r="870" ht="15.75" customHeight="1">
      <c r="A870" s="75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</row>
    <row r="871" ht="15.75" customHeight="1">
      <c r="A871" s="75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</row>
    <row r="872" ht="15.75" customHeight="1">
      <c r="A872" s="75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</row>
    <row r="873" ht="15.75" customHeight="1">
      <c r="A873" s="75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</row>
    <row r="874" ht="15.75" customHeight="1">
      <c r="A874" s="75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</row>
    <row r="875" ht="15.75" customHeight="1">
      <c r="A875" s="75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</row>
    <row r="876" ht="15.75" customHeight="1">
      <c r="A876" s="75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</row>
    <row r="877" ht="15.75" customHeight="1">
      <c r="A877" s="75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</row>
    <row r="878" ht="15.75" customHeight="1">
      <c r="A878" s="75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</row>
    <row r="879" ht="15.75" customHeight="1">
      <c r="A879" s="75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</row>
    <row r="880" ht="15.75" customHeight="1">
      <c r="A880" s="75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</row>
    <row r="881" ht="15.75" customHeight="1">
      <c r="A881" s="75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</row>
    <row r="882" ht="15.75" customHeight="1">
      <c r="A882" s="75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</row>
    <row r="883" ht="15.75" customHeight="1">
      <c r="A883" s="75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</row>
    <row r="884" ht="15.75" customHeight="1">
      <c r="A884" s="75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</row>
    <row r="885" ht="15.75" customHeight="1">
      <c r="A885" s="75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</row>
    <row r="886" ht="15.75" customHeight="1">
      <c r="A886" s="75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</row>
    <row r="887" ht="15.75" customHeight="1">
      <c r="A887" s="75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</row>
    <row r="888" ht="15.75" customHeight="1">
      <c r="A888" s="75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</row>
    <row r="889" ht="15.75" customHeight="1">
      <c r="A889" s="75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</row>
    <row r="890" ht="15.75" customHeight="1">
      <c r="A890" s="75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</row>
    <row r="891" ht="15.75" customHeight="1">
      <c r="A891" s="75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</row>
    <row r="892" ht="15.75" customHeight="1">
      <c r="A892" s="75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</row>
    <row r="893" ht="15.75" customHeight="1">
      <c r="A893" s="75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</row>
    <row r="894" ht="15.75" customHeight="1">
      <c r="A894" s="75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</row>
    <row r="895" ht="15.75" customHeight="1">
      <c r="A895" s="75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</row>
    <row r="896" ht="15.75" customHeight="1">
      <c r="A896" s="75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</row>
    <row r="897" ht="15.75" customHeight="1">
      <c r="A897" s="75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</row>
    <row r="898" ht="15.75" customHeight="1">
      <c r="A898" s="75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</row>
    <row r="899" ht="15.75" customHeight="1">
      <c r="A899" s="75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</row>
    <row r="900" ht="15.75" customHeight="1">
      <c r="A900" s="75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</row>
    <row r="901" ht="15.75" customHeight="1">
      <c r="A901" s="75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</row>
    <row r="902" ht="15.75" customHeight="1">
      <c r="A902" s="75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</row>
    <row r="903" ht="15.75" customHeight="1">
      <c r="A903" s="75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</row>
    <row r="904" ht="15.75" customHeight="1">
      <c r="A904" s="75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</row>
    <row r="905" ht="15.75" customHeight="1">
      <c r="A905" s="75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</row>
    <row r="906" ht="15.75" customHeight="1">
      <c r="A906" s="75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</row>
    <row r="907" ht="15.75" customHeight="1">
      <c r="A907" s="75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</row>
    <row r="908" ht="15.75" customHeight="1">
      <c r="A908" s="75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</row>
    <row r="909" ht="15.75" customHeight="1">
      <c r="A909" s="75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</row>
    <row r="910" ht="15.75" customHeight="1">
      <c r="A910" s="75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</row>
    <row r="911" ht="15.75" customHeight="1">
      <c r="A911" s="75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</row>
    <row r="912" ht="15.75" customHeight="1">
      <c r="A912" s="75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</row>
    <row r="913" ht="15.75" customHeight="1">
      <c r="A913" s="75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</row>
    <row r="914" ht="15.75" customHeight="1">
      <c r="A914" s="75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</row>
    <row r="915" ht="15.75" customHeight="1">
      <c r="A915" s="75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</row>
    <row r="916" ht="15.75" customHeight="1">
      <c r="A916" s="75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</row>
    <row r="917" ht="15.75" customHeight="1">
      <c r="A917" s="75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</row>
    <row r="918" ht="15.75" customHeight="1">
      <c r="A918" s="75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</row>
    <row r="919" ht="15.75" customHeight="1">
      <c r="A919" s="75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</row>
    <row r="920" ht="15.75" customHeight="1">
      <c r="A920" s="75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</row>
    <row r="921" ht="15.75" customHeight="1">
      <c r="A921" s="75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</row>
    <row r="922" ht="15.75" customHeight="1">
      <c r="A922" s="75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</row>
    <row r="923" ht="15.75" customHeight="1">
      <c r="A923" s="75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</row>
    <row r="924" ht="15.75" customHeight="1">
      <c r="A924" s="75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</row>
    <row r="925" ht="15.75" customHeight="1">
      <c r="A925" s="75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</row>
    <row r="926" ht="15.75" customHeight="1">
      <c r="A926" s="75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</row>
    <row r="927" ht="15.75" customHeight="1">
      <c r="A927" s="75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</row>
    <row r="928" ht="15.75" customHeight="1">
      <c r="A928" s="75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</row>
    <row r="929" ht="15.75" customHeight="1">
      <c r="A929" s="75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</row>
    <row r="930" ht="15.75" customHeight="1">
      <c r="A930" s="75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</row>
    <row r="931" ht="15.75" customHeight="1">
      <c r="A931" s="75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</row>
    <row r="932" ht="15.75" customHeight="1">
      <c r="A932" s="75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</row>
    <row r="933" ht="15.75" customHeight="1">
      <c r="A933" s="75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</row>
    <row r="934" ht="15.75" customHeight="1">
      <c r="A934" s="75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</row>
    <row r="935" ht="15.75" customHeight="1">
      <c r="A935" s="75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</row>
    <row r="936" ht="15.75" customHeight="1">
      <c r="A936" s="75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</row>
    <row r="937" ht="15.75" customHeight="1">
      <c r="A937" s="75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</row>
    <row r="938" ht="15.75" customHeight="1">
      <c r="A938" s="75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</row>
    <row r="939" ht="15.75" customHeight="1">
      <c r="A939" s="75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</row>
    <row r="940" ht="15.75" customHeight="1">
      <c r="A940" s="75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</row>
    <row r="941" ht="15.75" customHeight="1">
      <c r="A941" s="75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</row>
    <row r="942" ht="15.75" customHeight="1">
      <c r="A942" s="75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</row>
    <row r="943" ht="15.75" customHeight="1">
      <c r="A943" s="75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</row>
    <row r="944" ht="15.75" customHeight="1">
      <c r="A944" s="75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</row>
    <row r="945" ht="15.75" customHeight="1">
      <c r="A945" s="75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</row>
    <row r="946" ht="15.75" customHeight="1">
      <c r="A946" s="75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</row>
    <row r="947" ht="15.75" customHeight="1">
      <c r="A947" s="75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</row>
    <row r="948" ht="15.75" customHeight="1">
      <c r="A948" s="75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</row>
    <row r="949" ht="15.75" customHeight="1">
      <c r="A949" s="75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</row>
    <row r="950" ht="15.75" customHeight="1">
      <c r="A950" s="75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</row>
    <row r="951" ht="15.75" customHeight="1">
      <c r="A951" s="75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</row>
    <row r="952" ht="15.75" customHeight="1">
      <c r="A952" s="75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</row>
    <row r="953" ht="15.75" customHeight="1">
      <c r="A953" s="75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</row>
    <row r="954" ht="15.75" customHeight="1">
      <c r="A954" s="75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</row>
    <row r="955" ht="15.75" customHeight="1">
      <c r="A955" s="75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</row>
    <row r="956" ht="15.75" customHeight="1">
      <c r="A956" s="75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</row>
    <row r="957" ht="15.75" customHeight="1">
      <c r="A957" s="75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</row>
    <row r="958" ht="15.75" customHeight="1">
      <c r="A958" s="75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</row>
    <row r="959" ht="15.75" customHeight="1">
      <c r="A959" s="75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</row>
    <row r="960" ht="15.75" customHeight="1">
      <c r="A960" s="75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</row>
    <row r="961" ht="15.75" customHeight="1">
      <c r="A961" s="75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</row>
    <row r="962" ht="15.75" customHeight="1">
      <c r="A962" s="75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</row>
    <row r="963" ht="15.75" customHeight="1">
      <c r="A963" s="75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</row>
    <row r="964" ht="15.75" customHeight="1">
      <c r="A964" s="75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</row>
    <row r="965" ht="15.75" customHeight="1">
      <c r="A965" s="75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</row>
    <row r="966" ht="15.75" customHeight="1">
      <c r="A966" s="75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</row>
    <row r="967" ht="15.75" customHeight="1">
      <c r="A967" s="75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</row>
    <row r="968" ht="15.75" customHeight="1">
      <c r="A968" s="75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</row>
    <row r="969" ht="15.75" customHeight="1">
      <c r="A969" s="75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</row>
    <row r="970" ht="15.75" customHeight="1">
      <c r="A970" s="75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</row>
    <row r="971" ht="15.75" customHeight="1">
      <c r="A971" s="75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</row>
    <row r="972" ht="15.75" customHeight="1">
      <c r="A972" s="75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</row>
    <row r="973" ht="15.75" customHeight="1">
      <c r="A973" s="75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</row>
    <row r="974" ht="15.75" customHeight="1">
      <c r="A974" s="75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</row>
    <row r="975" ht="15.75" customHeight="1">
      <c r="A975" s="75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</row>
    <row r="976" ht="15.75" customHeight="1">
      <c r="A976" s="75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</row>
    <row r="977" ht="15.75" customHeight="1">
      <c r="A977" s="75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</row>
    <row r="978" ht="15.75" customHeight="1">
      <c r="A978" s="75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</row>
    <row r="979" ht="15.75" customHeight="1">
      <c r="A979" s="75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</row>
    <row r="980" ht="15.75" customHeight="1">
      <c r="A980" s="75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</row>
    <row r="981" ht="15.75" customHeight="1">
      <c r="A981" s="75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</row>
    <row r="982" ht="15.75" customHeight="1">
      <c r="A982" s="75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</row>
    <row r="983" ht="15.75" customHeight="1">
      <c r="A983" s="75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</row>
    <row r="984" ht="15.75" customHeight="1">
      <c r="A984" s="75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</row>
    <row r="985" ht="15.75" customHeight="1">
      <c r="A985" s="75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</row>
    <row r="986" ht="15.75" customHeight="1">
      <c r="A986" s="75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</row>
    <row r="987" ht="15.75" customHeight="1">
      <c r="A987" s="75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</row>
    <row r="988" ht="15.75" customHeight="1">
      <c r="A988" s="75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</row>
    <row r="989" ht="15.75" customHeight="1">
      <c r="A989" s="75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</row>
    <row r="990" ht="15.75" customHeight="1">
      <c r="A990" s="75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</row>
    <row r="991" ht="15.75" customHeight="1">
      <c r="A991" s="75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</row>
    <row r="992" ht="15.75" customHeight="1">
      <c r="A992" s="75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</row>
    <row r="993" ht="15.75" customHeight="1">
      <c r="A993" s="75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</row>
    <row r="994" ht="15.75" customHeight="1">
      <c r="A994" s="75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</row>
    <row r="995" ht="15.75" customHeight="1">
      <c r="A995" s="75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</row>
    <row r="996" ht="15.75" customHeight="1">
      <c r="A996" s="75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</row>
    <row r="997" ht="15.75" customHeight="1">
      <c r="A997" s="75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</row>
    <row r="998" ht="15.75" customHeight="1">
      <c r="A998" s="75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</row>
    <row r="999" ht="15.75" customHeight="1">
      <c r="A999" s="75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</row>
    <row r="1000" ht="15.75" customHeight="1">
      <c r="A1000" s="75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</row>
  </sheetData>
  <hyperlinks>
    <hyperlink r:id="rId1" ref="K45"/>
  </hyperlinks>
  <printOptions/>
  <pageMargins bottom="0.787401575" footer="0.0" header="0.0" left="0.7" right="0.7" top="0.787401575"/>
  <pageSetup paperSize="9"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3">
      <c r="B3" s="78" t="s">
        <v>46</v>
      </c>
      <c r="C3" s="78">
        <v>14.33</v>
      </c>
      <c r="D3" s="78">
        <v>70.0</v>
      </c>
    </row>
    <row r="4">
      <c r="B4" s="78" t="s">
        <v>47</v>
      </c>
      <c r="C4" s="78">
        <v>55.0</v>
      </c>
      <c r="D4" s="78">
        <v>243.0</v>
      </c>
    </row>
    <row r="5">
      <c r="B5" s="78" t="s">
        <v>48</v>
      </c>
      <c r="C5" s="76">
        <f t="shared" ref="C5:D5" si="1">((C4/100*30))</f>
        <v>16.5</v>
      </c>
      <c r="D5" s="76">
        <f t="shared" si="1"/>
        <v>72.9</v>
      </c>
    </row>
    <row r="6">
      <c r="B6" s="78" t="s">
        <v>98</v>
      </c>
      <c r="C6" s="78">
        <v>3.0</v>
      </c>
      <c r="D6" s="78">
        <f>41*0.5</f>
        <v>20.5</v>
      </c>
    </row>
    <row r="7">
      <c r="B7" s="89" t="s">
        <v>99</v>
      </c>
      <c r="C7" s="89">
        <v>7.0</v>
      </c>
      <c r="D7" s="89">
        <v>10.0</v>
      </c>
    </row>
    <row r="8">
      <c r="B8" s="89" t="s">
        <v>100</v>
      </c>
      <c r="C8" s="89">
        <v>3.0</v>
      </c>
      <c r="D8" s="89">
        <v>3.0</v>
      </c>
    </row>
    <row r="9">
      <c r="B9" s="89" t="s">
        <v>101</v>
      </c>
      <c r="C9" s="89">
        <v>5.5</v>
      </c>
      <c r="D9" s="89">
        <f>D4*0.1</f>
        <v>24.3</v>
      </c>
    </row>
    <row r="10">
      <c r="C10" s="90">
        <f t="shared" ref="C10:D10" si="2">C4-C3-C5-C6-C7-C8-C9</f>
        <v>5.67</v>
      </c>
      <c r="D10" s="90">
        <f t="shared" si="2"/>
        <v>42.3</v>
      </c>
      <c r="E10" s="91">
        <f>D4*0.8</f>
        <v>194.4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56"/>
    <col customWidth="1" min="2" max="2" width="17.44"/>
    <col customWidth="1" min="3" max="3" width="16.67"/>
    <col customWidth="1" min="4" max="4" width="13.56"/>
    <col customWidth="1" min="5" max="6" width="16.67"/>
    <col customWidth="1" min="7" max="26" width="8.33"/>
  </cols>
  <sheetData>
    <row r="1" ht="15.75" customHeight="1">
      <c r="A1" s="92" t="s">
        <v>102</v>
      </c>
    </row>
    <row r="2" ht="15.75" customHeight="1">
      <c r="A2" s="93" t="s">
        <v>103</v>
      </c>
      <c r="B2" s="94" t="s">
        <v>104</v>
      </c>
      <c r="C2" s="94" t="s">
        <v>105</v>
      </c>
      <c r="D2" s="94" t="s">
        <v>106</v>
      </c>
    </row>
    <row r="3" ht="15.75" customHeight="1">
      <c r="A3" s="95"/>
      <c r="B3" s="84"/>
      <c r="C3" s="84"/>
      <c r="D3" s="84"/>
    </row>
    <row r="4" ht="15.75" customHeight="1"/>
    <row r="5" ht="15.75" customHeight="1">
      <c r="A5" s="93" t="s">
        <v>107</v>
      </c>
      <c r="B5" s="94" t="s">
        <v>108</v>
      </c>
      <c r="C5" s="94" t="s">
        <v>109</v>
      </c>
    </row>
    <row r="6" ht="15.75" customHeight="1">
      <c r="A6" s="96"/>
      <c r="B6" s="84"/>
      <c r="C6" s="84"/>
    </row>
    <row r="7" ht="15.75" customHeight="1"/>
    <row r="8" ht="15.75" customHeight="1">
      <c r="A8" s="97" t="s">
        <v>31</v>
      </c>
      <c r="B8" s="94" t="s">
        <v>110</v>
      </c>
      <c r="C8" s="94" t="s">
        <v>111</v>
      </c>
      <c r="D8" s="94" t="s">
        <v>37</v>
      </c>
    </row>
    <row r="9" ht="15.75" customHeight="1">
      <c r="A9" s="96"/>
      <c r="B9" s="84"/>
      <c r="C9" s="84"/>
      <c r="D9" s="84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2016-05-31T16:01:17Z</dcterms:created>
  <dc:creator>Microsoft Office User;Klaus.Arent@adveo.com</dc:creator>
</cp:coreProperties>
</file>