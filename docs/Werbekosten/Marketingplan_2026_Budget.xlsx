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ustellenkameras (BauTV+)" sheetId="1" state="visible" r:id="rId1"/>
    <sheet xmlns:r="http://schemas.openxmlformats.org/officeDocument/2006/relationships" name="Bodycam" sheetId="2" state="visible" r:id="rId2"/>
    <sheet xmlns:r="http://schemas.openxmlformats.org/officeDocument/2006/relationships" name="Microvista (NDT)" sheetId="3" state="visible" r:id="rId3"/>
    <sheet xmlns:r="http://schemas.openxmlformats.org/officeDocument/2006/relationships" name="Übersic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  <sz val="10"/>
    </font>
    <font>
      <b val="1"/>
      <sz val="10"/>
    </font>
    <font>
      <sz val="10"/>
    </font>
    <font>
      <color rgb="000000FF"/>
      <sz val="10"/>
    </font>
    <font>
      <b val="1"/>
      <color rgb="000000FF"/>
    </font>
    <font>
      <b val="1"/>
    </font>
    <font>
      <b val="1"/>
      <sz val="11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333333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8B451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0" fillId="4" borderId="1" pivotButton="0" quotePrefix="0" xfId="0"/>
    <xf numFmtId="0" fontId="0" fillId="5" borderId="0" pivotButton="0" quotePrefix="0" xfId="0"/>
    <xf numFmtId="0" fontId="5" fillId="5" borderId="0" pivotButton="0" quotePrefix="0" xfId="0"/>
    <xf numFmtId="164" fontId="6" fillId="5" borderId="1" applyAlignment="1" pivotButton="0" quotePrefix="0" xfId="0">
      <alignment horizontal="right"/>
    </xf>
    <xf numFmtId="164" fontId="7" fillId="5" borderId="1" pivotButton="0" quotePrefix="0" xfId="0"/>
    <xf numFmtId="0" fontId="5" fillId="0" borderId="0" pivotButton="0" quotePrefix="0" xfId="0"/>
    <xf numFmtId="3" fontId="0" fillId="0" borderId="1" applyAlignment="1" pivotButton="0" quotePrefix="0" xfId="0">
      <alignment horizontal="right"/>
    </xf>
    <xf numFmtId="3" fontId="8" fillId="0" borderId="1" pivotButton="0" quotePrefix="0" xfId="0"/>
    <xf numFmtId="0" fontId="9" fillId="2" borderId="1" pivotButton="0" quotePrefix="0" xfId="0"/>
    <xf numFmtId="0" fontId="0" fillId="2" borderId="1" pivotButton="0" quotePrefix="0" xfId="0"/>
    <xf numFmtId="164" fontId="9" fillId="2" borderId="1" pivotButton="0" quotePrefix="0" xfId="0"/>
    <xf numFmtId="0" fontId="10" fillId="6" borderId="1" pivotButton="0" quotePrefix="0" xfId="0"/>
    <xf numFmtId="0" fontId="0" fillId="6" borderId="1" pivotButton="0" quotePrefix="0" xfId="0"/>
    <xf numFmtId="0" fontId="5" fillId="7" borderId="0" pivotButton="0" quotePrefix="0" xfId="0"/>
    <xf numFmtId="164" fontId="6" fillId="7" borderId="1" applyAlignment="1" pivotButton="0" quotePrefix="0" xfId="0">
      <alignment horizontal="right"/>
    </xf>
    <xf numFmtId="164" fontId="7" fillId="7" borderId="1" pivotButton="0" quotePrefix="0" xfId="0"/>
    <xf numFmtId="0" fontId="11" fillId="4" borderId="1" pivotButton="0" quotePrefix="0" xfId="0"/>
    <xf numFmtId="164" fontId="12" fillId="4" borderId="1" pivotButton="0" quotePrefix="0" xfId="0"/>
    <xf numFmtId="0" fontId="13" fillId="3" borderId="1" applyAlignment="1" pivotButton="0" quotePrefix="0" xfId="0">
      <alignment horizontal="center"/>
    </xf>
    <xf numFmtId="0" fontId="8" fillId="0" borderId="0" pivotButton="0" quotePrefix="0" xfId="0"/>
    <xf numFmtId="164" fontId="0" fillId="0" borderId="1" applyAlignment="1" pivotButton="0" quotePrefix="0" xfId="0">
      <alignment horizontal="right"/>
    </xf>
    <xf numFmtId="0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Marketingplan 2026 – Baustellenkameras (BauTV+)</t>
        </is>
      </c>
    </row>
    <row r="2">
      <c r="A2" s="2" t="inlineStr">
        <is>
          <t>Ist 2025: 155,000 € | Plan 2026: 175,000 €</t>
        </is>
      </c>
    </row>
    <row r="4">
      <c r="A4" s="3" t="inlineStr">
        <is>
          <t>Kanal</t>
        </is>
      </c>
      <c r="B4" s="3" t="inlineStr">
        <is>
          <t>Metrik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Mär</t>
        </is>
      </c>
      <c r="F4" s="3" t="inlineStr">
        <is>
          <t>Apr</t>
        </is>
      </c>
      <c r="G4" s="3" t="inlineStr">
        <is>
          <t>Mai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Okt</t>
        </is>
      </c>
      <c r="M4" s="3" t="inlineStr">
        <is>
          <t>Nov</t>
        </is>
      </c>
      <c r="N4" s="3" t="inlineStr">
        <is>
          <t>Dez</t>
        </is>
      </c>
      <c r="O4" s="3" t="inlineStr">
        <is>
          <t>TOTAL</t>
        </is>
      </c>
    </row>
    <row r="5">
      <c r="A5" s="4" t="inlineStr">
        <is>
          <t>SEO Offpage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/>
      <c r="B6" s="7" t="inlineStr">
        <is>
          <t>Kosten €</t>
        </is>
      </c>
      <c r="C6" s="8" t="n">
        <v>300</v>
      </c>
      <c r="D6" s="8" t="n">
        <v>300</v>
      </c>
      <c r="E6" s="8" t="n">
        <v>300</v>
      </c>
      <c r="F6" s="8" t="n">
        <v>300</v>
      </c>
      <c r="G6" s="8" t="n">
        <v>300</v>
      </c>
      <c r="H6" s="8" t="n">
        <v>300</v>
      </c>
      <c r="I6" s="8" t="n">
        <v>300</v>
      </c>
      <c r="J6" s="8" t="n">
        <v>300</v>
      </c>
      <c r="K6" s="8" t="n">
        <v>300</v>
      </c>
      <c r="L6" s="8" t="n">
        <v>300</v>
      </c>
      <c r="M6" s="8" t="n">
        <v>300</v>
      </c>
      <c r="N6" s="8" t="n">
        <v>300</v>
      </c>
      <c r="O6" s="9">
        <f>SUM(C6:N6)</f>
        <v/>
      </c>
    </row>
    <row r="7">
      <c r="A7" t="inlineStr"/>
      <c r="B7" s="10" t="inlineStr">
        <is>
          <t>Traffic</t>
        </is>
      </c>
      <c r="C7" s="11" t="n">
        <v>200</v>
      </c>
      <c r="D7" s="11" t="n">
        <v>220</v>
      </c>
      <c r="E7" s="11" t="n">
        <v>250</v>
      </c>
      <c r="F7" s="11" t="n">
        <v>270</v>
      </c>
      <c r="G7" s="11" t="n">
        <v>300</v>
      </c>
      <c r="H7" s="11" t="n">
        <v>280</v>
      </c>
      <c r="I7" s="11" t="n">
        <v>260</v>
      </c>
      <c r="J7" s="11" t="n">
        <v>240</v>
      </c>
      <c r="K7" s="11" t="n">
        <v>280</v>
      </c>
      <c r="L7" s="11" t="n">
        <v>310</v>
      </c>
      <c r="M7" s="11" t="n">
        <v>290</v>
      </c>
      <c r="N7" s="11" t="n">
        <v>270</v>
      </c>
      <c r="O7" s="12">
        <f>SUM(C7:N7)</f>
        <v/>
      </c>
    </row>
    <row r="8">
      <c r="A8" s="4" t="inlineStr">
        <is>
          <t>SEO Onpage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inlineStr"/>
      <c r="B9" s="7" t="inlineStr">
        <is>
          <t>Kosten €</t>
        </is>
      </c>
      <c r="C9" s="8" t="n">
        <v>500</v>
      </c>
      <c r="D9" s="8" t="n">
        <v>500</v>
      </c>
      <c r="E9" s="8" t="n">
        <v>500</v>
      </c>
      <c r="F9" s="8" t="n">
        <v>500</v>
      </c>
      <c r="G9" s="8" t="n">
        <v>500</v>
      </c>
      <c r="H9" s="8" t="n">
        <v>500</v>
      </c>
      <c r="I9" s="8" t="n">
        <v>500</v>
      </c>
      <c r="J9" s="8" t="n">
        <v>500</v>
      </c>
      <c r="K9" s="8" t="n">
        <v>500</v>
      </c>
      <c r="L9" s="8" t="n">
        <v>500</v>
      </c>
      <c r="M9" s="8" t="n">
        <v>500</v>
      </c>
      <c r="N9" s="8" t="n">
        <v>500</v>
      </c>
      <c r="O9" s="9">
        <f>SUM(C9:N9)</f>
        <v/>
      </c>
    </row>
    <row r="10">
      <c r="A10" t="inlineStr"/>
      <c r="B10" s="10" t="inlineStr">
        <is>
          <t>Traffic</t>
        </is>
      </c>
      <c r="C10" s="11" t="n">
        <v>800</v>
      </c>
      <c r="D10" s="11" t="n">
        <v>850</v>
      </c>
      <c r="E10" s="11" t="n">
        <v>900</v>
      </c>
      <c r="F10" s="11" t="n">
        <v>950</v>
      </c>
      <c r="G10" s="11" t="n">
        <v>1000</v>
      </c>
      <c r="H10" s="11" t="n">
        <v>980</v>
      </c>
      <c r="I10" s="11" t="n">
        <v>900</v>
      </c>
      <c r="J10" s="11" t="n">
        <v>850</v>
      </c>
      <c r="K10" s="11" t="n">
        <v>950</v>
      </c>
      <c r="L10" s="11" t="n">
        <v>1050</v>
      </c>
      <c r="M10" s="11" t="n">
        <v>1000</v>
      </c>
      <c r="N10" s="11" t="n">
        <v>900</v>
      </c>
      <c r="O10" s="12">
        <f>SUM(C10:N10)</f>
        <v/>
      </c>
    </row>
    <row r="11">
      <c r="A11" s="4" t="inlineStr">
        <is>
          <t>Content Marketing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inlineStr"/>
      <c r="B12" s="7" t="inlineStr">
        <is>
          <t>Kosten €</t>
        </is>
      </c>
      <c r="C12" s="8" t="n">
        <v>400</v>
      </c>
      <c r="D12" s="8" t="n">
        <v>400</v>
      </c>
      <c r="E12" s="8" t="n">
        <v>500</v>
      </c>
      <c r="F12" s="8" t="n">
        <v>500</v>
      </c>
      <c r="G12" s="8" t="n">
        <v>400</v>
      </c>
      <c r="H12" s="8" t="n">
        <v>400</v>
      </c>
      <c r="I12" s="8" t="n">
        <v>300</v>
      </c>
      <c r="J12" s="8" t="n">
        <v>300</v>
      </c>
      <c r="K12" s="8" t="n">
        <v>500</v>
      </c>
      <c r="L12" s="8" t="n">
        <v>500</v>
      </c>
      <c r="M12" s="8" t="n">
        <v>400</v>
      </c>
      <c r="N12" s="8" t="n">
        <v>300</v>
      </c>
      <c r="O12" s="9">
        <f>SUM(C12:N12)</f>
        <v/>
      </c>
    </row>
    <row r="13">
      <c r="A13" t="inlineStr"/>
      <c r="B13" s="10" t="inlineStr">
        <is>
          <t>Traffic</t>
        </is>
      </c>
      <c r="C13" s="11" t="n">
        <v>300</v>
      </c>
      <c r="D13" s="11" t="n">
        <v>320</v>
      </c>
      <c r="E13" s="11" t="n">
        <v>380</v>
      </c>
      <c r="F13" s="11" t="n">
        <v>400</v>
      </c>
      <c r="G13" s="11" t="n">
        <v>350</v>
      </c>
      <c r="H13" s="11" t="n">
        <v>330</v>
      </c>
      <c r="I13" s="11" t="n">
        <v>280</v>
      </c>
      <c r="J13" s="11" t="n">
        <v>260</v>
      </c>
      <c r="K13" s="11" t="n">
        <v>380</v>
      </c>
      <c r="L13" s="11" t="n">
        <v>420</v>
      </c>
      <c r="M13" s="11" t="n">
        <v>380</v>
      </c>
      <c r="N13" s="11" t="n">
        <v>300</v>
      </c>
      <c r="O13" s="12">
        <f>SUM(C13:N13)</f>
        <v/>
      </c>
    </row>
    <row r="14">
      <c r="A14" s="4" t="inlineStr">
        <is>
          <t>PPC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inlineStr"/>
      <c r="B15" s="7" t="inlineStr">
        <is>
          <t>Kosten €</t>
        </is>
      </c>
      <c r="C15" s="8" t="n">
        <v>12500</v>
      </c>
      <c r="D15" s="8" t="n">
        <v>12500</v>
      </c>
      <c r="E15" s="8" t="n">
        <v>13000</v>
      </c>
      <c r="F15" s="8" t="n">
        <v>13500</v>
      </c>
      <c r="G15" s="8" t="n">
        <v>14000</v>
      </c>
      <c r="H15" s="8" t="n">
        <v>13000</v>
      </c>
      <c r="I15" s="8" t="n">
        <v>12000</v>
      </c>
      <c r="J15" s="8" t="n">
        <v>11500</v>
      </c>
      <c r="K15" s="8" t="n">
        <v>13500</v>
      </c>
      <c r="L15" s="8" t="n">
        <v>14000</v>
      </c>
      <c r="M15" s="8" t="n">
        <v>13500</v>
      </c>
      <c r="N15" s="8" t="n">
        <v>12000</v>
      </c>
      <c r="O15" s="9">
        <f>SUM(C15:N15)</f>
        <v/>
      </c>
    </row>
    <row r="16">
      <c r="A16" t="inlineStr"/>
      <c r="B16" s="10" t="inlineStr">
        <is>
          <t>Traffic</t>
        </is>
      </c>
      <c r="C16" s="11" t="n">
        <v>3500</v>
      </c>
      <c r="D16" s="11" t="n">
        <v>3500</v>
      </c>
      <c r="E16" s="11" t="n">
        <v>3800</v>
      </c>
      <c r="F16" s="11" t="n">
        <v>4000</v>
      </c>
      <c r="G16" s="11" t="n">
        <v>4200</v>
      </c>
      <c r="H16" s="11" t="n">
        <v>3800</v>
      </c>
      <c r="I16" s="11" t="n">
        <v>3400</v>
      </c>
      <c r="J16" s="11" t="n">
        <v>3200</v>
      </c>
      <c r="K16" s="11" t="n">
        <v>4000</v>
      </c>
      <c r="L16" s="11" t="n">
        <v>4200</v>
      </c>
      <c r="M16" s="11" t="n">
        <v>4000</v>
      </c>
      <c r="N16" s="11" t="n">
        <v>3400</v>
      </c>
      <c r="O16" s="12">
        <f>SUM(C16:N16)</f>
        <v/>
      </c>
    </row>
    <row r="17">
      <c r="A17" t="inlineStr"/>
      <c r="B17" s="10" t="inlineStr">
        <is>
          <t>Views</t>
        </is>
      </c>
      <c r="C17" s="11" t="n">
        <v>45000</v>
      </c>
      <c r="D17" s="11" t="n">
        <v>45000</v>
      </c>
      <c r="E17" s="11" t="n">
        <v>48000</v>
      </c>
      <c r="F17" s="11" t="n">
        <v>50000</v>
      </c>
      <c r="G17" s="11" t="n">
        <v>52000</v>
      </c>
      <c r="H17" s="11" t="n">
        <v>48000</v>
      </c>
      <c r="I17" s="11" t="n">
        <v>44000</v>
      </c>
      <c r="J17" s="11" t="n">
        <v>42000</v>
      </c>
      <c r="K17" s="11" t="n">
        <v>50000</v>
      </c>
      <c r="L17" s="11" t="n">
        <v>52000</v>
      </c>
      <c r="M17" s="11" t="n">
        <v>50000</v>
      </c>
      <c r="N17" s="11" t="n">
        <v>44000</v>
      </c>
      <c r="O17" s="12">
        <f>SUM(C17:N17)</f>
        <v/>
      </c>
    </row>
    <row r="18">
      <c r="A18" s="4" t="inlineStr">
        <is>
          <t>CPM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/>
      <c r="B19" s="7" t="inlineStr">
        <is>
          <t>Kosten €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9">
        <f>SUM(C19:N19)</f>
        <v/>
      </c>
    </row>
    <row r="20">
      <c r="A20" t="inlineStr"/>
      <c r="B20" s="10" t="inlineStr">
        <is>
          <t>Traffic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2">
        <f>SUM(C20:N20)</f>
        <v/>
      </c>
    </row>
    <row r="21">
      <c r="A21" t="inlineStr"/>
      <c r="B21" s="10" t="inlineStr">
        <is>
          <t>Views</t>
        </is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2">
        <f>SUM(C21:N21)</f>
        <v/>
      </c>
    </row>
    <row r="22">
      <c r="A22" s="4" t="inlineStr">
        <is>
          <t>Retargeting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inlineStr"/>
      <c r="B23" s="7" t="inlineStr">
        <is>
          <t>Kosten €</t>
        </is>
      </c>
      <c r="C23" s="8" t="n">
        <v>200</v>
      </c>
      <c r="D23" s="8" t="n">
        <v>200</v>
      </c>
      <c r="E23" s="8" t="n">
        <v>250</v>
      </c>
      <c r="F23" s="8" t="n">
        <v>250</v>
      </c>
      <c r="G23" s="8" t="n">
        <v>300</v>
      </c>
      <c r="H23" s="8" t="n">
        <v>250</v>
      </c>
      <c r="I23" s="8" t="n">
        <v>200</v>
      </c>
      <c r="J23" s="8" t="n">
        <v>200</v>
      </c>
      <c r="K23" s="8" t="n">
        <v>300</v>
      </c>
      <c r="L23" s="8" t="n">
        <v>300</v>
      </c>
      <c r="M23" s="8" t="n">
        <v>250</v>
      </c>
      <c r="N23" s="8" t="n">
        <v>200</v>
      </c>
      <c r="O23" s="9">
        <f>SUM(C23:N23)</f>
        <v/>
      </c>
    </row>
    <row r="24">
      <c r="A24" t="inlineStr"/>
      <c r="B24" s="10" t="inlineStr">
        <is>
          <t>Traffic</t>
        </is>
      </c>
      <c r="C24" s="11" t="n">
        <v>150</v>
      </c>
      <c r="D24" s="11" t="n">
        <v>150</v>
      </c>
      <c r="E24" s="11" t="n">
        <v>180</v>
      </c>
      <c r="F24" s="11" t="n">
        <v>180</v>
      </c>
      <c r="G24" s="11" t="n">
        <v>200</v>
      </c>
      <c r="H24" s="11" t="n">
        <v>180</v>
      </c>
      <c r="I24" s="11" t="n">
        <v>150</v>
      </c>
      <c r="J24" s="11" t="n">
        <v>150</v>
      </c>
      <c r="K24" s="11" t="n">
        <v>200</v>
      </c>
      <c r="L24" s="11" t="n">
        <v>200</v>
      </c>
      <c r="M24" s="11" t="n">
        <v>180</v>
      </c>
      <c r="N24" s="11" t="n">
        <v>150</v>
      </c>
      <c r="O24" s="12">
        <f>SUM(C24:N24)</f>
        <v/>
      </c>
    </row>
    <row r="25">
      <c r="A25" t="inlineStr"/>
      <c r="B25" s="10" t="inlineStr">
        <is>
          <t>Views</t>
        </is>
      </c>
      <c r="C25" s="11" t="n">
        <v>5000</v>
      </c>
      <c r="D25" s="11" t="n">
        <v>5000</v>
      </c>
      <c r="E25" s="11" t="n">
        <v>6000</v>
      </c>
      <c r="F25" s="11" t="n">
        <v>6000</v>
      </c>
      <c r="G25" s="11" t="n">
        <v>7000</v>
      </c>
      <c r="H25" s="11" t="n">
        <v>6000</v>
      </c>
      <c r="I25" s="11" t="n">
        <v>5000</v>
      </c>
      <c r="J25" s="11" t="n">
        <v>5000</v>
      </c>
      <c r="K25" s="11" t="n">
        <v>7000</v>
      </c>
      <c r="L25" s="11" t="n">
        <v>7000</v>
      </c>
      <c r="M25" s="11" t="n">
        <v>6000</v>
      </c>
      <c r="N25" s="11" t="n">
        <v>5000</v>
      </c>
      <c r="O25" s="12">
        <f>SUM(C25:N25)</f>
        <v/>
      </c>
    </row>
    <row r="26">
      <c r="A26" s="4" t="inlineStr">
        <is>
          <t>Social Media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inlineStr"/>
      <c r="B27" s="7" t="inlineStr">
        <is>
          <t>Kosten €</t>
        </is>
      </c>
      <c r="C27" s="8" t="n">
        <v>250</v>
      </c>
      <c r="D27" s="8" t="n">
        <v>250</v>
      </c>
      <c r="E27" s="8" t="n">
        <v>300</v>
      </c>
      <c r="F27" s="8" t="n">
        <v>300</v>
      </c>
      <c r="G27" s="8" t="n">
        <v>350</v>
      </c>
      <c r="H27" s="8" t="n">
        <v>300</v>
      </c>
      <c r="I27" s="8" t="n">
        <v>250</v>
      </c>
      <c r="J27" s="8" t="n">
        <v>200</v>
      </c>
      <c r="K27" s="8" t="n">
        <v>300</v>
      </c>
      <c r="L27" s="8" t="n">
        <v>350</v>
      </c>
      <c r="M27" s="8" t="n">
        <v>300</v>
      </c>
      <c r="N27" s="8" t="n">
        <v>250</v>
      </c>
      <c r="O27" s="9">
        <f>SUM(C27:N27)</f>
        <v/>
      </c>
    </row>
    <row r="28">
      <c r="A28" t="inlineStr"/>
      <c r="B28" s="10" t="inlineStr">
        <is>
          <t>Likes</t>
        </is>
      </c>
      <c r="C28" s="11" t="n">
        <v>400</v>
      </c>
      <c r="D28" s="11" t="n">
        <v>420</v>
      </c>
      <c r="E28" s="11" t="n">
        <v>500</v>
      </c>
      <c r="F28" s="11" t="n">
        <v>520</v>
      </c>
      <c r="G28" s="11" t="n">
        <v>600</v>
      </c>
      <c r="H28" s="11" t="n">
        <v>500</v>
      </c>
      <c r="I28" s="11" t="n">
        <v>400</v>
      </c>
      <c r="J28" s="11" t="n">
        <v>350</v>
      </c>
      <c r="K28" s="11" t="n">
        <v>500</v>
      </c>
      <c r="L28" s="11" t="n">
        <v>600</v>
      </c>
      <c r="M28" s="11" t="n">
        <v>500</v>
      </c>
      <c r="N28" s="11" t="n">
        <v>400</v>
      </c>
      <c r="O28" s="12">
        <f>SUM(C28:N28)</f>
        <v/>
      </c>
    </row>
    <row r="29">
      <c r="A29" s="4" t="inlineStr">
        <is>
          <t>Newsletter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inlineStr"/>
      <c r="B30" s="7" t="inlineStr">
        <is>
          <t>Kosten €</t>
        </is>
      </c>
      <c r="C30" s="8" t="n">
        <v>60</v>
      </c>
      <c r="D30" s="8" t="n">
        <v>60</v>
      </c>
      <c r="E30" s="8" t="n">
        <v>60</v>
      </c>
      <c r="F30" s="8" t="n">
        <v>60</v>
      </c>
      <c r="G30" s="8" t="n">
        <v>60</v>
      </c>
      <c r="H30" s="8" t="n">
        <v>60</v>
      </c>
      <c r="I30" s="8" t="n">
        <v>60</v>
      </c>
      <c r="J30" s="8" t="n">
        <v>60</v>
      </c>
      <c r="K30" s="8" t="n">
        <v>60</v>
      </c>
      <c r="L30" s="8" t="n">
        <v>60</v>
      </c>
      <c r="M30" s="8" t="n">
        <v>60</v>
      </c>
      <c r="N30" s="8" t="n">
        <v>60</v>
      </c>
      <c r="O30" s="9">
        <f>SUM(C30:N30)</f>
        <v/>
      </c>
    </row>
    <row r="31">
      <c r="A31" t="inlineStr"/>
      <c r="B31" s="10" t="inlineStr">
        <is>
          <t>Traffic</t>
        </is>
      </c>
      <c r="C31" s="11" t="n">
        <v>100</v>
      </c>
      <c r="D31" s="11" t="n">
        <v>110</v>
      </c>
      <c r="E31" s="11" t="n">
        <v>120</v>
      </c>
      <c r="F31" s="11" t="n">
        <v>130</v>
      </c>
      <c r="G31" s="11" t="n">
        <v>120</v>
      </c>
      <c r="H31" s="11" t="n">
        <v>110</v>
      </c>
      <c r="I31" s="11" t="n">
        <v>100</v>
      </c>
      <c r="J31" s="11" t="n">
        <v>90</v>
      </c>
      <c r="K31" s="11" t="n">
        <v>120</v>
      </c>
      <c r="L31" s="11" t="n">
        <v>130</v>
      </c>
      <c r="M31" s="11" t="n">
        <v>120</v>
      </c>
      <c r="N31" s="11" t="n">
        <v>100</v>
      </c>
      <c r="O31" s="12">
        <f>SUM(C31:N31)</f>
        <v/>
      </c>
    </row>
    <row r="32">
      <c r="A32" s="4" t="inlineStr">
        <is>
          <t>Conversion Optimization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inlineStr"/>
      <c r="B33" s="7" t="inlineStr">
        <is>
          <t>Kosten €</t>
        </is>
      </c>
      <c r="C33" s="8" t="n">
        <v>0</v>
      </c>
      <c r="D33" s="8" t="n">
        <v>0</v>
      </c>
      <c r="E33" s="8" t="n">
        <v>200</v>
      </c>
      <c r="F33" s="8" t="n">
        <v>0</v>
      </c>
      <c r="G33" s="8" t="n">
        <v>0</v>
      </c>
      <c r="H33" s="8" t="n">
        <v>200</v>
      </c>
      <c r="I33" s="8" t="n">
        <v>0</v>
      </c>
      <c r="J33" s="8" t="n">
        <v>0</v>
      </c>
      <c r="K33" s="8" t="n">
        <v>200</v>
      </c>
      <c r="L33" s="8" t="n">
        <v>0</v>
      </c>
      <c r="M33" s="8" t="n">
        <v>0</v>
      </c>
      <c r="N33" s="8" t="n">
        <v>0</v>
      </c>
      <c r="O33" s="9">
        <f>SUM(C33:N33)</f>
        <v/>
      </c>
    </row>
    <row r="34">
      <c r="A34" t="inlineStr"/>
      <c r="B34" s="10" t="inlineStr">
        <is>
          <t>Traffic</t>
        </is>
      </c>
      <c r="C34" s="11" t="n">
        <v>0</v>
      </c>
      <c r="D34" s="11" t="n">
        <v>0</v>
      </c>
      <c r="E34" s="11" t="n">
        <v>50</v>
      </c>
      <c r="F34" s="11" t="n">
        <v>0</v>
      </c>
      <c r="G34" s="11" t="n">
        <v>0</v>
      </c>
      <c r="H34" s="11" t="n">
        <v>50</v>
      </c>
      <c r="I34" s="11" t="n">
        <v>0</v>
      </c>
      <c r="J34" s="11" t="n">
        <v>0</v>
      </c>
      <c r="K34" s="11" t="n">
        <v>50</v>
      </c>
      <c r="L34" s="11" t="n">
        <v>0</v>
      </c>
      <c r="M34" s="11" t="n">
        <v>0</v>
      </c>
      <c r="N34" s="11" t="n">
        <v>0</v>
      </c>
      <c r="O34" s="12">
        <f>SUM(C34:N34)</f>
        <v/>
      </c>
    </row>
    <row r="35">
      <c r="A35" s="13" t="inlineStr">
        <is>
          <t>SUMME Marketing Maßnahmen</t>
        </is>
      </c>
      <c r="B35" s="14" t="n"/>
      <c r="C35" s="15">
        <f>C6+C9+C12+C15+C19+C23+C27+C30+C33</f>
        <v/>
      </c>
      <c r="D35" s="15">
        <f>D6+D9+D12+D15+D19+D23+D27+D30+D33</f>
        <v/>
      </c>
      <c r="E35" s="15">
        <f>E6+E9+E12+E15+E19+E23+E27+E30+E33</f>
        <v/>
      </c>
      <c r="F35" s="15">
        <f>F6+F9+F12+F15+F19+F23+F27+F30+F33</f>
        <v/>
      </c>
      <c r="G35" s="15">
        <f>G6+G9+G12+G15+G19+G23+G27+G30+G33</f>
        <v/>
      </c>
      <c r="H35" s="15">
        <f>H6+H9+H12+H15+H19+H23+H27+H30+H33</f>
        <v/>
      </c>
      <c r="I35" s="15">
        <f>I6+I9+I12+I15+I19+I23+I27+I30+I33</f>
        <v/>
      </c>
      <c r="J35" s="15">
        <f>J6+J9+J12+J15+J19+J23+J27+J30+J33</f>
        <v/>
      </c>
      <c r="K35" s="15">
        <f>K6+K9+K12+K15+K19+K23+K27+K30+K33</f>
        <v/>
      </c>
      <c r="L35" s="15">
        <f>L6+L9+L12+L15+L19+L23+L27+L30+L33</f>
        <v/>
      </c>
      <c r="M35" s="15">
        <f>M6+M9+M12+M15+M19+M23+M27+M30+M33</f>
        <v/>
      </c>
      <c r="N35" s="15">
        <f>N6+N9+N12+N15+N19+N23+N27+N30+N33</f>
        <v/>
      </c>
      <c r="O35" s="15">
        <f>O6+O9+O12+O15+O19+O23+O27+O30+O33</f>
        <v/>
      </c>
    </row>
    <row r="37">
      <c r="A37" s="16" t="inlineStr">
        <is>
          <t>Investment / Consulting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8" t="inlineStr">
        <is>
          <t>Agenturkosten Ads</t>
        </is>
      </c>
      <c r="B38" s="18" t="inlineStr">
        <is>
          <t>Kosten €</t>
        </is>
      </c>
      <c r="C38" s="19" t="n">
        <v>500</v>
      </c>
      <c r="D38" s="19" t="n">
        <v>500</v>
      </c>
      <c r="E38" s="19" t="n">
        <v>500</v>
      </c>
      <c r="F38" s="19" t="n">
        <v>500</v>
      </c>
      <c r="G38" s="19" t="n">
        <v>500</v>
      </c>
      <c r="H38" s="19" t="n">
        <v>500</v>
      </c>
      <c r="I38" s="19" t="n">
        <v>500</v>
      </c>
      <c r="J38" s="19" t="n">
        <v>500</v>
      </c>
      <c r="K38" s="19" t="n">
        <v>500</v>
      </c>
      <c r="L38" s="19" t="n">
        <v>500</v>
      </c>
      <c r="M38" s="19" t="n">
        <v>500</v>
      </c>
      <c r="N38" s="19" t="n">
        <v>500</v>
      </c>
      <c r="O38" s="20">
        <f>SUM(C38:N38)</f>
        <v/>
      </c>
    </row>
    <row r="39">
      <c r="A39" s="18" t="inlineStr">
        <is>
          <t>Freelancer Grafik</t>
        </is>
      </c>
      <c r="B39" s="18" t="inlineStr">
        <is>
          <t>Kosten €</t>
        </is>
      </c>
      <c r="C39" s="19" t="n">
        <v>200</v>
      </c>
      <c r="D39" s="19" t="n">
        <v>200</v>
      </c>
      <c r="E39" s="19" t="n">
        <v>300</v>
      </c>
      <c r="F39" s="19" t="n">
        <v>300</v>
      </c>
      <c r="G39" s="19" t="n">
        <v>200</v>
      </c>
      <c r="H39" s="19" t="n">
        <v>200</v>
      </c>
      <c r="I39" s="19" t="n">
        <v>150</v>
      </c>
      <c r="J39" s="19" t="n">
        <v>150</v>
      </c>
      <c r="K39" s="19" t="n">
        <v>300</v>
      </c>
      <c r="L39" s="19" t="n">
        <v>300</v>
      </c>
      <c r="M39" s="19" t="n">
        <v>200</v>
      </c>
      <c r="N39" s="19" t="n">
        <v>150</v>
      </c>
      <c r="O39" s="20">
        <f>SUM(C39:N39)</f>
        <v/>
      </c>
    </row>
    <row r="40">
      <c r="A40" s="18" t="inlineStr">
        <is>
          <t>Freelancer Entwicklung</t>
        </is>
      </c>
      <c r="B40" s="18" t="inlineStr">
        <is>
          <t>Kosten €</t>
        </is>
      </c>
      <c r="C40" s="19" t="n">
        <v>0</v>
      </c>
      <c r="D40" s="19" t="n">
        <v>0</v>
      </c>
      <c r="E40" s="19" t="n">
        <v>500</v>
      </c>
      <c r="F40" s="19" t="n">
        <v>0</v>
      </c>
      <c r="G40" s="19" t="n">
        <v>0</v>
      </c>
      <c r="H40" s="19" t="n">
        <v>500</v>
      </c>
      <c r="I40" s="19" t="n">
        <v>0</v>
      </c>
      <c r="J40" s="19" t="n">
        <v>0</v>
      </c>
      <c r="K40" s="19" t="n">
        <v>500</v>
      </c>
      <c r="L40" s="19" t="n">
        <v>0</v>
      </c>
      <c r="M40" s="19" t="n">
        <v>0</v>
      </c>
      <c r="N40" s="19" t="n">
        <v>0</v>
      </c>
      <c r="O40" s="20">
        <f>SUM(C40:N40)</f>
        <v/>
      </c>
    </row>
    <row r="41">
      <c r="A41" s="18" t="inlineStr">
        <is>
          <t>Web Development</t>
        </is>
      </c>
      <c r="B41" s="18" t="inlineStr">
        <is>
          <t>Kosten €</t>
        </is>
      </c>
      <c r="C41" s="19" t="n">
        <v>0</v>
      </c>
      <c r="D41" s="19" t="n">
        <v>0</v>
      </c>
      <c r="E41" s="19" t="n">
        <v>0</v>
      </c>
      <c r="F41" s="19" t="n">
        <v>500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500</v>
      </c>
      <c r="M41" s="19" t="n">
        <v>0</v>
      </c>
      <c r="N41" s="19" t="n">
        <v>0</v>
      </c>
      <c r="O41" s="20">
        <f>SUM(C41:N41)</f>
        <v/>
      </c>
    </row>
    <row r="42">
      <c r="A42" s="18" t="inlineStr">
        <is>
          <t>Messen/Events</t>
        </is>
      </c>
      <c r="B42" s="18" t="inlineStr">
        <is>
          <t>Kosten €</t>
        </is>
      </c>
      <c r="C42" s="19" t="n">
        <v>0</v>
      </c>
      <c r="D42" s="19" t="n">
        <v>0</v>
      </c>
      <c r="E42" s="19" t="n">
        <v>2000</v>
      </c>
      <c r="F42" s="19" t="n">
        <v>0</v>
      </c>
      <c r="G42" s="19" t="n">
        <v>3000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3000</v>
      </c>
      <c r="M42" s="19" t="n">
        <v>0</v>
      </c>
      <c r="N42" s="19" t="n">
        <v>0</v>
      </c>
      <c r="O42" s="20">
        <f>SUM(C42:N42)</f>
        <v/>
      </c>
    </row>
    <row r="43">
      <c r="A43" s="18" t="inlineStr">
        <is>
          <t>Werbemittel/Drucksachen</t>
        </is>
      </c>
      <c r="B43" s="18" t="inlineStr">
        <is>
          <t>Kosten €</t>
        </is>
      </c>
      <c r="C43" s="19" t="n">
        <v>200</v>
      </c>
      <c r="D43" s="19" t="n">
        <v>200</v>
      </c>
      <c r="E43" s="19" t="n">
        <v>400</v>
      </c>
      <c r="F43" s="19" t="n">
        <v>200</v>
      </c>
      <c r="G43" s="19" t="n">
        <v>400</v>
      </c>
      <c r="H43" s="19" t="n">
        <v>200</v>
      </c>
      <c r="I43" s="19" t="n">
        <v>200</v>
      </c>
      <c r="J43" s="19" t="n">
        <v>200</v>
      </c>
      <c r="K43" s="19" t="n">
        <v>200</v>
      </c>
      <c r="L43" s="19" t="n">
        <v>400</v>
      </c>
      <c r="M43" s="19" t="n">
        <v>200</v>
      </c>
      <c r="N43" s="19" t="n">
        <v>200</v>
      </c>
      <c r="O43" s="20">
        <f>SUM(C43:N43)</f>
        <v/>
      </c>
    </row>
    <row r="44">
      <c r="A44" s="18" t="inlineStr">
        <is>
          <t>Video/Content Produktion</t>
        </is>
      </c>
      <c r="B44" s="18" t="inlineStr">
        <is>
          <t>Kosten €</t>
        </is>
      </c>
      <c r="C44" s="19" t="n">
        <v>0</v>
      </c>
      <c r="D44" s="19" t="n">
        <v>0</v>
      </c>
      <c r="E44" s="19" t="n">
        <v>500</v>
      </c>
      <c r="F44" s="19" t="n">
        <v>0</v>
      </c>
      <c r="G44" s="19" t="n">
        <v>500</v>
      </c>
      <c r="H44" s="19" t="n">
        <v>0</v>
      </c>
      <c r="I44" s="19" t="n">
        <v>0</v>
      </c>
      <c r="J44" s="19" t="n">
        <v>0</v>
      </c>
      <c r="K44" s="19" t="n">
        <v>500</v>
      </c>
      <c r="L44" s="19" t="n">
        <v>500</v>
      </c>
      <c r="M44" s="19" t="n">
        <v>0</v>
      </c>
      <c r="N44" s="19" t="n">
        <v>0</v>
      </c>
      <c r="O44" s="20">
        <f>SUM(C44:N44)</f>
        <v/>
      </c>
    </row>
    <row r="45">
      <c r="A45" s="13" t="inlineStr">
        <is>
          <t>SUMME Investment</t>
        </is>
      </c>
      <c r="B45" s="14" t="n"/>
      <c r="C45" s="15">
        <f>C38+C39+C40+C41+C42+C43+C44</f>
        <v/>
      </c>
      <c r="D45" s="15">
        <f>D38+D39+D40+D41+D42+D43+D44</f>
        <v/>
      </c>
      <c r="E45" s="15">
        <f>E38+E39+E40+E41+E42+E43+E44</f>
        <v/>
      </c>
      <c r="F45" s="15">
        <f>F38+F39+F40+F41+F42+F43+F44</f>
        <v/>
      </c>
      <c r="G45" s="15">
        <f>G38+G39+G40+G41+G42+G43+G44</f>
        <v/>
      </c>
      <c r="H45" s="15">
        <f>H38+H39+H40+H41+H42+H43+H44</f>
        <v/>
      </c>
      <c r="I45" s="15">
        <f>I38+I39+I40+I41+I42+I43+I44</f>
        <v/>
      </c>
      <c r="J45" s="15">
        <f>J38+J39+J40+J41+J42+J43+J44</f>
        <v/>
      </c>
      <c r="K45" s="15">
        <f>K38+K39+K40+K41+K42+K43+K44</f>
        <v/>
      </c>
      <c r="L45" s="15">
        <f>L38+L39+L40+L41+L42+L43+L44</f>
        <v/>
      </c>
      <c r="M45" s="15">
        <f>M38+M39+M40+M41+M42+M43+M44</f>
        <v/>
      </c>
      <c r="N45" s="15">
        <f>N38+N39+N40+N41+N42+N43+N44</f>
        <v/>
      </c>
      <c r="O45" s="15">
        <f>O38+O39+O40+O41+O42+O43+O44</f>
        <v/>
      </c>
    </row>
    <row r="47">
      <c r="A47" s="21" t="inlineStr">
        <is>
          <t>GESAMTBUDGET</t>
        </is>
      </c>
      <c r="B47" s="5" t="n"/>
      <c r="C47" s="22">
        <f>C35+C45</f>
        <v/>
      </c>
      <c r="D47" s="22">
        <f>D35+D45</f>
        <v/>
      </c>
      <c r="E47" s="22">
        <f>E35+E45</f>
        <v/>
      </c>
      <c r="F47" s="22">
        <f>F35+F45</f>
        <v/>
      </c>
      <c r="G47" s="22">
        <f>G35+G45</f>
        <v/>
      </c>
      <c r="H47" s="22">
        <f>H35+H45</f>
        <v/>
      </c>
      <c r="I47" s="22">
        <f>I35+I45</f>
        <v/>
      </c>
      <c r="J47" s="22">
        <f>J35+J45</f>
        <v/>
      </c>
      <c r="K47" s="22">
        <f>K35+K45</f>
        <v/>
      </c>
      <c r="L47" s="22">
        <f>L35+L45</f>
        <v/>
      </c>
      <c r="M47" s="22">
        <f>M35+M45</f>
        <v/>
      </c>
      <c r="N47" s="22">
        <f>N35+N45</f>
        <v/>
      </c>
      <c r="O47" s="22">
        <f>O35+O45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Marketingplan 2026 – Bodycam</t>
        </is>
      </c>
    </row>
    <row r="2">
      <c r="A2" s="2" t="inlineStr">
        <is>
          <t>Ist 2025: 90,000 € | Plan 2026: 110,000 €</t>
        </is>
      </c>
    </row>
    <row r="4">
      <c r="A4" s="3" t="inlineStr">
        <is>
          <t>Kanal</t>
        </is>
      </c>
      <c r="B4" s="3" t="inlineStr">
        <is>
          <t>Metrik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Mär</t>
        </is>
      </c>
      <c r="F4" s="3" t="inlineStr">
        <is>
          <t>Apr</t>
        </is>
      </c>
      <c r="G4" s="3" t="inlineStr">
        <is>
          <t>Mai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Okt</t>
        </is>
      </c>
      <c r="M4" s="3" t="inlineStr">
        <is>
          <t>Nov</t>
        </is>
      </c>
      <c r="N4" s="3" t="inlineStr">
        <is>
          <t>Dez</t>
        </is>
      </c>
      <c r="O4" s="3" t="inlineStr">
        <is>
          <t>TOTAL</t>
        </is>
      </c>
    </row>
    <row r="5">
      <c r="A5" s="4" t="inlineStr">
        <is>
          <t>SEO Offpage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/>
      <c r="B6" s="7" t="inlineStr">
        <is>
          <t>Kosten €</t>
        </is>
      </c>
      <c r="C6" s="8" t="n">
        <v>200</v>
      </c>
      <c r="D6" s="8" t="n">
        <v>200</v>
      </c>
      <c r="E6" s="8" t="n">
        <v>200</v>
      </c>
      <c r="F6" s="8" t="n">
        <v>200</v>
      </c>
      <c r="G6" s="8" t="n">
        <v>200</v>
      </c>
      <c r="H6" s="8" t="n">
        <v>200</v>
      </c>
      <c r="I6" s="8" t="n">
        <v>200</v>
      </c>
      <c r="J6" s="8" t="n">
        <v>200</v>
      </c>
      <c r="K6" s="8" t="n">
        <v>200</v>
      </c>
      <c r="L6" s="8" t="n">
        <v>200</v>
      </c>
      <c r="M6" s="8" t="n">
        <v>200</v>
      </c>
      <c r="N6" s="8" t="n">
        <v>200</v>
      </c>
      <c r="O6" s="9">
        <f>SUM(C6:N6)</f>
        <v/>
      </c>
    </row>
    <row r="7">
      <c r="A7" t="inlineStr"/>
      <c r="B7" s="10" t="inlineStr">
        <is>
          <t>Traffic</t>
        </is>
      </c>
      <c r="C7" s="11" t="n">
        <v>150</v>
      </c>
      <c r="D7" s="11" t="n">
        <v>160</v>
      </c>
      <c r="E7" s="11" t="n">
        <v>180</v>
      </c>
      <c r="F7" s="11" t="n">
        <v>190</v>
      </c>
      <c r="G7" s="11" t="n">
        <v>200</v>
      </c>
      <c r="H7" s="11" t="n">
        <v>190</v>
      </c>
      <c r="I7" s="11" t="n">
        <v>170</v>
      </c>
      <c r="J7" s="11" t="n">
        <v>160</v>
      </c>
      <c r="K7" s="11" t="n">
        <v>190</v>
      </c>
      <c r="L7" s="11" t="n">
        <v>210</v>
      </c>
      <c r="M7" s="11" t="n">
        <v>200</v>
      </c>
      <c r="N7" s="11" t="n">
        <v>170</v>
      </c>
      <c r="O7" s="12">
        <f>SUM(C7:N7)</f>
        <v/>
      </c>
    </row>
    <row r="8">
      <c r="A8" s="4" t="inlineStr">
        <is>
          <t>SEO Onpage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inlineStr"/>
      <c r="B9" s="7" t="inlineStr">
        <is>
          <t>Kosten €</t>
        </is>
      </c>
      <c r="C9" s="8" t="n">
        <v>400</v>
      </c>
      <c r="D9" s="8" t="n">
        <v>400</v>
      </c>
      <c r="E9" s="8" t="n">
        <v>400</v>
      </c>
      <c r="F9" s="8" t="n">
        <v>400</v>
      </c>
      <c r="G9" s="8" t="n">
        <v>400</v>
      </c>
      <c r="H9" s="8" t="n">
        <v>400</v>
      </c>
      <c r="I9" s="8" t="n">
        <v>400</v>
      </c>
      <c r="J9" s="8" t="n">
        <v>400</v>
      </c>
      <c r="K9" s="8" t="n">
        <v>400</v>
      </c>
      <c r="L9" s="8" t="n">
        <v>400</v>
      </c>
      <c r="M9" s="8" t="n">
        <v>400</v>
      </c>
      <c r="N9" s="8" t="n">
        <v>400</v>
      </c>
      <c r="O9" s="9">
        <f>SUM(C9:N9)</f>
        <v/>
      </c>
    </row>
    <row r="10">
      <c r="A10" t="inlineStr"/>
      <c r="B10" s="10" t="inlineStr">
        <is>
          <t>Traffic</t>
        </is>
      </c>
      <c r="C10" s="11" t="n">
        <v>600</v>
      </c>
      <c r="D10" s="11" t="n">
        <v>650</v>
      </c>
      <c r="E10" s="11" t="n">
        <v>700</v>
      </c>
      <c r="F10" s="11" t="n">
        <v>750</v>
      </c>
      <c r="G10" s="11" t="n">
        <v>800</v>
      </c>
      <c r="H10" s="11" t="n">
        <v>780</v>
      </c>
      <c r="I10" s="11" t="n">
        <v>700</v>
      </c>
      <c r="J10" s="11" t="n">
        <v>650</v>
      </c>
      <c r="K10" s="11" t="n">
        <v>750</v>
      </c>
      <c r="L10" s="11" t="n">
        <v>850</v>
      </c>
      <c r="M10" s="11" t="n">
        <v>800</v>
      </c>
      <c r="N10" s="11" t="n">
        <v>700</v>
      </c>
      <c r="O10" s="12">
        <f>SUM(C10:N10)</f>
        <v/>
      </c>
    </row>
    <row r="11">
      <c r="A11" s="4" t="inlineStr">
        <is>
          <t>Content Marketing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inlineStr"/>
      <c r="B12" s="7" t="inlineStr">
        <is>
          <t>Kosten €</t>
        </is>
      </c>
      <c r="C12" s="8" t="n">
        <v>300</v>
      </c>
      <c r="D12" s="8" t="n">
        <v>300</v>
      </c>
      <c r="E12" s="8" t="n">
        <v>400</v>
      </c>
      <c r="F12" s="8" t="n">
        <v>400</v>
      </c>
      <c r="G12" s="8" t="n">
        <v>300</v>
      </c>
      <c r="H12" s="8" t="n">
        <v>300</v>
      </c>
      <c r="I12" s="8" t="n">
        <v>250</v>
      </c>
      <c r="J12" s="8" t="n">
        <v>250</v>
      </c>
      <c r="K12" s="8" t="n">
        <v>400</v>
      </c>
      <c r="L12" s="8" t="n">
        <v>400</v>
      </c>
      <c r="M12" s="8" t="n">
        <v>300</v>
      </c>
      <c r="N12" s="8" t="n">
        <v>250</v>
      </c>
      <c r="O12" s="9">
        <f>SUM(C12:N12)</f>
        <v/>
      </c>
    </row>
    <row r="13">
      <c r="A13" t="inlineStr"/>
      <c r="B13" s="10" t="inlineStr">
        <is>
          <t>Traffic</t>
        </is>
      </c>
      <c r="C13" s="11" t="n">
        <v>250</v>
      </c>
      <c r="D13" s="11" t="n">
        <v>270</v>
      </c>
      <c r="E13" s="11" t="n">
        <v>320</v>
      </c>
      <c r="F13" s="11" t="n">
        <v>340</v>
      </c>
      <c r="G13" s="11" t="n">
        <v>300</v>
      </c>
      <c r="H13" s="11" t="n">
        <v>280</v>
      </c>
      <c r="I13" s="11" t="n">
        <v>240</v>
      </c>
      <c r="J13" s="11" t="n">
        <v>220</v>
      </c>
      <c r="K13" s="11" t="n">
        <v>320</v>
      </c>
      <c r="L13" s="11" t="n">
        <v>360</v>
      </c>
      <c r="M13" s="11" t="n">
        <v>320</v>
      </c>
      <c r="N13" s="11" t="n">
        <v>250</v>
      </c>
      <c r="O13" s="12">
        <f>SUM(C13:N13)</f>
        <v/>
      </c>
    </row>
    <row r="14">
      <c r="A14" s="4" t="inlineStr">
        <is>
          <t>PPC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inlineStr"/>
      <c r="B15" s="7" t="inlineStr">
        <is>
          <t>Kosten €</t>
        </is>
      </c>
      <c r="C15" s="8" t="n">
        <v>4500</v>
      </c>
      <c r="D15" s="8" t="n">
        <v>4500</v>
      </c>
      <c r="E15" s="8" t="n">
        <v>5000</v>
      </c>
      <c r="F15" s="8" t="n">
        <v>5500</v>
      </c>
      <c r="G15" s="8" t="n">
        <v>5500</v>
      </c>
      <c r="H15" s="8" t="n">
        <v>5000</v>
      </c>
      <c r="I15" s="8" t="n">
        <v>4500</v>
      </c>
      <c r="J15" s="8" t="n">
        <v>4000</v>
      </c>
      <c r="K15" s="8" t="n">
        <v>5500</v>
      </c>
      <c r="L15" s="8" t="n">
        <v>5500</v>
      </c>
      <c r="M15" s="8" t="n">
        <v>5000</v>
      </c>
      <c r="N15" s="8" t="n">
        <v>4000</v>
      </c>
      <c r="O15" s="9">
        <f>SUM(C15:N15)</f>
        <v/>
      </c>
    </row>
    <row r="16">
      <c r="A16" t="inlineStr"/>
      <c r="B16" s="10" t="inlineStr">
        <is>
          <t>Traffic</t>
        </is>
      </c>
      <c r="C16" s="11" t="n">
        <v>1500</v>
      </c>
      <c r="D16" s="11" t="n">
        <v>1500</v>
      </c>
      <c r="E16" s="11" t="n">
        <v>1700</v>
      </c>
      <c r="F16" s="11" t="n">
        <v>1800</v>
      </c>
      <c r="G16" s="11" t="n">
        <v>1800</v>
      </c>
      <c r="H16" s="11" t="n">
        <v>1700</v>
      </c>
      <c r="I16" s="11" t="n">
        <v>1500</v>
      </c>
      <c r="J16" s="11" t="n">
        <v>1400</v>
      </c>
      <c r="K16" s="11" t="n">
        <v>1800</v>
      </c>
      <c r="L16" s="11" t="n">
        <v>1800</v>
      </c>
      <c r="M16" s="11" t="n">
        <v>1700</v>
      </c>
      <c r="N16" s="11" t="n">
        <v>1400</v>
      </c>
      <c r="O16" s="12">
        <f>SUM(C16:N16)</f>
        <v/>
      </c>
    </row>
    <row r="17">
      <c r="A17" t="inlineStr"/>
      <c r="B17" s="10" t="inlineStr">
        <is>
          <t>Views</t>
        </is>
      </c>
      <c r="C17" s="11" t="n">
        <v>20000</v>
      </c>
      <c r="D17" s="11" t="n">
        <v>20000</v>
      </c>
      <c r="E17" s="11" t="n">
        <v>22000</v>
      </c>
      <c r="F17" s="11" t="n">
        <v>24000</v>
      </c>
      <c r="G17" s="11" t="n">
        <v>24000</v>
      </c>
      <c r="H17" s="11" t="n">
        <v>22000</v>
      </c>
      <c r="I17" s="11" t="n">
        <v>20000</v>
      </c>
      <c r="J17" s="11" t="n">
        <v>18000</v>
      </c>
      <c r="K17" s="11" t="n">
        <v>24000</v>
      </c>
      <c r="L17" s="11" t="n">
        <v>24000</v>
      </c>
      <c r="M17" s="11" t="n">
        <v>22000</v>
      </c>
      <c r="N17" s="11" t="n">
        <v>18000</v>
      </c>
      <c r="O17" s="12">
        <f>SUM(C17:N17)</f>
        <v/>
      </c>
    </row>
    <row r="18">
      <c r="A18" s="4" t="inlineStr">
        <is>
          <t>CPM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/>
      <c r="B19" s="7" t="inlineStr">
        <is>
          <t>Kosten €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9">
        <f>SUM(C19:N19)</f>
        <v/>
      </c>
    </row>
    <row r="20">
      <c r="A20" t="inlineStr"/>
      <c r="B20" s="10" t="inlineStr">
        <is>
          <t>Traffic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2">
        <f>SUM(C20:N20)</f>
        <v/>
      </c>
    </row>
    <row r="21">
      <c r="A21" t="inlineStr"/>
      <c r="B21" s="10" t="inlineStr">
        <is>
          <t>Views</t>
        </is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2">
        <f>SUM(C21:N21)</f>
        <v/>
      </c>
    </row>
    <row r="22">
      <c r="A22" s="4" t="inlineStr">
        <is>
          <t>Retargeting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inlineStr"/>
      <c r="B23" s="7" t="inlineStr">
        <is>
          <t>Kosten €</t>
        </is>
      </c>
      <c r="C23" s="8" t="n">
        <v>150</v>
      </c>
      <c r="D23" s="8" t="n">
        <v>150</v>
      </c>
      <c r="E23" s="8" t="n">
        <v>200</v>
      </c>
      <c r="F23" s="8" t="n">
        <v>200</v>
      </c>
      <c r="G23" s="8" t="n">
        <v>200</v>
      </c>
      <c r="H23" s="8" t="n">
        <v>200</v>
      </c>
      <c r="I23" s="8" t="n">
        <v>150</v>
      </c>
      <c r="J23" s="8" t="n">
        <v>150</v>
      </c>
      <c r="K23" s="8" t="n">
        <v>200</v>
      </c>
      <c r="L23" s="8" t="n">
        <v>200</v>
      </c>
      <c r="M23" s="8" t="n">
        <v>200</v>
      </c>
      <c r="N23" s="8" t="n">
        <v>150</v>
      </c>
      <c r="O23" s="9">
        <f>SUM(C23:N23)</f>
        <v/>
      </c>
    </row>
    <row r="24">
      <c r="A24" t="inlineStr"/>
      <c r="B24" s="10" t="inlineStr">
        <is>
          <t>Traffic</t>
        </is>
      </c>
      <c r="C24" s="11" t="n">
        <v>100</v>
      </c>
      <c r="D24" s="11" t="n">
        <v>100</v>
      </c>
      <c r="E24" s="11" t="n">
        <v>130</v>
      </c>
      <c r="F24" s="11" t="n">
        <v>130</v>
      </c>
      <c r="G24" s="11" t="n">
        <v>130</v>
      </c>
      <c r="H24" s="11" t="n">
        <v>130</v>
      </c>
      <c r="I24" s="11" t="n">
        <v>100</v>
      </c>
      <c r="J24" s="11" t="n">
        <v>100</v>
      </c>
      <c r="K24" s="11" t="n">
        <v>130</v>
      </c>
      <c r="L24" s="11" t="n">
        <v>130</v>
      </c>
      <c r="M24" s="11" t="n">
        <v>130</v>
      </c>
      <c r="N24" s="11" t="n">
        <v>100</v>
      </c>
      <c r="O24" s="12">
        <f>SUM(C24:N24)</f>
        <v/>
      </c>
    </row>
    <row r="25">
      <c r="A25" t="inlineStr"/>
      <c r="B25" s="10" t="inlineStr">
        <is>
          <t>Views</t>
        </is>
      </c>
      <c r="C25" s="11" t="n">
        <v>3000</v>
      </c>
      <c r="D25" s="11" t="n">
        <v>3000</v>
      </c>
      <c r="E25" s="11" t="n">
        <v>4000</v>
      </c>
      <c r="F25" s="11" t="n">
        <v>4000</v>
      </c>
      <c r="G25" s="11" t="n">
        <v>4000</v>
      </c>
      <c r="H25" s="11" t="n">
        <v>4000</v>
      </c>
      <c r="I25" s="11" t="n">
        <v>3000</v>
      </c>
      <c r="J25" s="11" t="n">
        <v>3000</v>
      </c>
      <c r="K25" s="11" t="n">
        <v>4000</v>
      </c>
      <c r="L25" s="11" t="n">
        <v>4000</v>
      </c>
      <c r="M25" s="11" t="n">
        <v>4000</v>
      </c>
      <c r="N25" s="11" t="n">
        <v>3000</v>
      </c>
      <c r="O25" s="12">
        <f>SUM(C25:N25)</f>
        <v/>
      </c>
    </row>
    <row r="26">
      <c r="A26" s="4" t="inlineStr">
        <is>
          <t>Social Media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inlineStr"/>
      <c r="B27" s="7" t="inlineStr">
        <is>
          <t>Kosten €</t>
        </is>
      </c>
      <c r="C27" s="8" t="n">
        <v>400</v>
      </c>
      <c r="D27" s="8" t="n">
        <v>400</v>
      </c>
      <c r="E27" s="8" t="n">
        <v>500</v>
      </c>
      <c r="F27" s="8" t="n">
        <v>500</v>
      </c>
      <c r="G27" s="8" t="n">
        <v>600</v>
      </c>
      <c r="H27" s="8" t="n">
        <v>500</v>
      </c>
      <c r="I27" s="8" t="n">
        <v>400</v>
      </c>
      <c r="J27" s="8" t="n">
        <v>350</v>
      </c>
      <c r="K27" s="8" t="n">
        <v>500</v>
      </c>
      <c r="L27" s="8" t="n">
        <v>600</v>
      </c>
      <c r="M27" s="8" t="n">
        <v>500</v>
      </c>
      <c r="N27" s="8" t="n">
        <v>400</v>
      </c>
      <c r="O27" s="9">
        <f>SUM(C27:N27)</f>
        <v/>
      </c>
    </row>
    <row r="28">
      <c r="A28" t="inlineStr"/>
      <c r="B28" s="10" t="inlineStr">
        <is>
          <t>Likes</t>
        </is>
      </c>
      <c r="C28" s="11" t="n">
        <v>600</v>
      </c>
      <c r="D28" s="11" t="n">
        <v>630</v>
      </c>
      <c r="E28" s="11" t="n">
        <v>750</v>
      </c>
      <c r="F28" s="11" t="n">
        <v>780</v>
      </c>
      <c r="G28" s="11" t="n">
        <v>900</v>
      </c>
      <c r="H28" s="11" t="n">
        <v>750</v>
      </c>
      <c r="I28" s="11" t="n">
        <v>600</v>
      </c>
      <c r="J28" s="11" t="n">
        <v>520</v>
      </c>
      <c r="K28" s="11" t="n">
        <v>750</v>
      </c>
      <c r="L28" s="11" t="n">
        <v>900</v>
      </c>
      <c r="M28" s="11" t="n">
        <v>750</v>
      </c>
      <c r="N28" s="11" t="n">
        <v>600</v>
      </c>
      <c r="O28" s="12">
        <f>SUM(C28:N28)</f>
        <v/>
      </c>
    </row>
    <row r="29">
      <c r="A29" s="4" t="inlineStr">
        <is>
          <t>Newsletter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inlineStr"/>
      <c r="B30" s="7" t="inlineStr">
        <is>
          <t>Kosten €</t>
        </is>
      </c>
      <c r="C30" s="8" t="n">
        <v>60</v>
      </c>
      <c r="D30" s="8" t="n">
        <v>60</v>
      </c>
      <c r="E30" s="8" t="n">
        <v>60</v>
      </c>
      <c r="F30" s="8" t="n">
        <v>60</v>
      </c>
      <c r="G30" s="8" t="n">
        <v>60</v>
      </c>
      <c r="H30" s="8" t="n">
        <v>60</v>
      </c>
      <c r="I30" s="8" t="n">
        <v>60</v>
      </c>
      <c r="J30" s="8" t="n">
        <v>60</v>
      </c>
      <c r="K30" s="8" t="n">
        <v>60</v>
      </c>
      <c r="L30" s="8" t="n">
        <v>60</v>
      </c>
      <c r="M30" s="8" t="n">
        <v>60</v>
      </c>
      <c r="N30" s="8" t="n">
        <v>60</v>
      </c>
      <c r="O30" s="9">
        <f>SUM(C30:N30)</f>
        <v/>
      </c>
    </row>
    <row r="31">
      <c r="A31" t="inlineStr"/>
      <c r="B31" s="10" t="inlineStr">
        <is>
          <t>Traffic</t>
        </is>
      </c>
      <c r="C31" s="11" t="n">
        <v>80</v>
      </c>
      <c r="D31" s="11" t="n">
        <v>90</v>
      </c>
      <c r="E31" s="11" t="n">
        <v>100</v>
      </c>
      <c r="F31" s="11" t="n">
        <v>110</v>
      </c>
      <c r="G31" s="11" t="n">
        <v>100</v>
      </c>
      <c r="H31" s="11" t="n">
        <v>90</v>
      </c>
      <c r="I31" s="11" t="n">
        <v>80</v>
      </c>
      <c r="J31" s="11" t="n">
        <v>70</v>
      </c>
      <c r="K31" s="11" t="n">
        <v>100</v>
      </c>
      <c r="L31" s="11" t="n">
        <v>110</v>
      </c>
      <c r="M31" s="11" t="n">
        <v>100</v>
      </c>
      <c r="N31" s="11" t="n">
        <v>80</v>
      </c>
      <c r="O31" s="12">
        <f>SUM(C31:N31)</f>
        <v/>
      </c>
    </row>
    <row r="32">
      <c r="A32" s="4" t="inlineStr">
        <is>
          <t>Conversion Optimization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inlineStr"/>
      <c r="B33" s="7" t="inlineStr">
        <is>
          <t>Kosten €</t>
        </is>
      </c>
      <c r="C33" s="8" t="n">
        <v>0</v>
      </c>
      <c r="D33" s="8" t="n">
        <v>0</v>
      </c>
      <c r="E33" s="8" t="n">
        <v>200</v>
      </c>
      <c r="F33" s="8" t="n">
        <v>0</v>
      </c>
      <c r="G33" s="8" t="n">
        <v>0</v>
      </c>
      <c r="H33" s="8" t="n">
        <v>200</v>
      </c>
      <c r="I33" s="8" t="n">
        <v>0</v>
      </c>
      <c r="J33" s="8" t="n">
        <v>0</v>
      </c>
      <c r="K33" s="8" t="n">
        <v>200</v>
      </c>
      <c r="L33" s="8" t="n">
        <v>0</v>
      </c>
      <c r="M33" s="8" t="n">
        <v>0</v>
      </c>
      <c r="N33" s="8" t="n">
        <v>0</v>
      </c>
      <c r="O33" s="9">
        <f>SUM(C33:N33)</f>
        <v/>
      </c>
    </row>
    <row r="34">
      <c r="A34" t="inlineStr"/>
      <c r="B34" s="10" t="inlineStr">
        <is>
          <t>Traffic</t>
        </is>
      </c>
      <c r="C34" s="11" t="n">
        <v>0</v>
      </c>
      <c r="D34" s="11" t="n">
        <v>0</v>
      </c>
      <c r="E34" s="11" t="n">
        <v>40</v>
      </c>
      <c r="F34" s="11" t="n">
        <v>0</v>
      </c>
      <c r="G34" s="11" t="n">
        <v>0</v>
      </c>
      <c r="H34" s="11" t="n">
        <v>40</v>
      </c>
      <c r="I34" s="11" t="n">
        <v>0</v>
      </c>
      <c r="J34" s="11" t="n">
        <v>0</v>
      </c>
      <c r="K34" s="11" t="n">
        <v>40</v>
      </c>
      <c r="L34" s="11" t="n">
        <v>0</v>
      </c>
      <c r="M34" s="11" t="n">
        <v>0</v>
      </c>
      <c r="N34" s="11" t="n">
        <v>0</v>
      </c>
      <c r="O34" s="12">
        <f>SUM(C34:N34)</f>
        <v/>
      </c>
    </row>
    <row r="35">
      <c r="A35" s="13" t="inlineStr">
        <is>
          <t>SUMME Marketing Maßnahmen</t>
        </is>
      </c>
      <c r="B35" s="14" t="n"/>
      <c r="C35" s="15">
        <f>C6+C9+C12+C15+C19+C23+C27+C30+C33</f>
        <v/>
      </c>
      <c r="D35" s="15">
        <f>D6+D9+D12+D15+D19+D23+D27+D30+D33</f>
        <v/>
      </c>
      <c r="E35" s="15">
        <f>E6+E9+E12+E15+E19+E23+E27+E30+E33</f>
        <v/>
      </c>
      <c r="F35" s="15">
        <f>F6+F9+F12+F15+F19+F23+F27+F30+F33</f>
        <v/>
      </c>
      <c r="G35" s="15">
        <f>G6+G9+G12+G15+G19+G23+G27+G30+G33</f>
        <v/>
      </c>
      <c r="H35" s="15">
        <f>H6+H9+H12+H15+H19+H23+H27+H30+H33</f>
        <v/>
      </c>
      <c r="I35" s="15">
        <f>I6+I9+I12+I15+I19+I23+I27+I30+I33</f>
        <v/>
      </c>
      <c r="J35" s="15">
        <f>J6+J9+J12+J15+J19+J23+J27+J30+J33</f>
        <v/>
      </c>
      <c r="K35" s="15">
        <f>K6+K9+K12+K15+K19+K23+K27+K30+K33</f>
        <v/>
      </c>
      <c r="L35" s="15">
        <f>L6+L9+L12+L15+L19+L23+L27+L30+L33</f>
        <v/>
      </c>
      <c r="M35" s="15">
        <f>M6+M9+M12+M15+M19+M23+M27+M30+M33</f>
        <v/>
      </c>
      <c r="N35" s="15">
        <f>N6+N9+N12+N15+N19+N23+N27+N30+N33</f>
        <v/>
      </c>
      <c r="O35" s="15">
        <f>O6+O9+O12+O15+O19+O23+O27+O30+O33</f>
        <v/>
      </c>
    </row>
    <row r="37">
      <c r="A37" s="16" t="inlineStr">
        <is>
          <t>Investment / Consulting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8" t="inlineStr">
        <is>
          <t>Agenturkosten Ads</t>
        </is>
      </c>
      <c r="B38" s="18" t="inlineStr">
        <is>
          <t>Kosten €</t>
        </is>
      </c>
      <c r="C38" s="19" t="n">
        <v>500</v>
      </c>
      <c r="D38" s="19" t="n">
        <v>500</v>
      </c>
      <c r="E38" s="19" t="n">
        <v>500</v>
      </c>
      <c r="F38" s="19" t="n">
        <v>500</v>
      </c>
      <c r="G38" s="19" t="n">
        <v>500</v>
      </c>
      <c r="H38" s="19" t="n">
        <v>500</v>
      </c>
      <c r="I38" s="19" t="n">
        <v>500</v>
      </c>
      <c r="J38" s="19" t="n">
        <v>500</v>
      </c>
      <c r="K38" s="19" t="n">
        <v>500</v>
      </c>
      <c r="L38" s="19" t="n">
        <v>500</v>
      </c>
      <c r="M38" s="19" t="n">
        <v>500</v>
      </c>
      <c r="N38" s="19" t="n">
        <v>500</v>
      </c>
      <c r="O38" s="20">
        <f>SUM(C38:N38)</f>
        <v/>
      </c>
    </row>
    <row r="39">
      <c r="A39" s="18" t="inlineStr">
        <is>
          <t>Freelancer Grafik</t>
        </is>
      </c>
      <c r="B39" s="18" t="inlineStr">
        <is>
          <t>Kosten €</t>
        </is>
      </c>
      <c r="C39" s="19" t="n">
        <v>200</v>
      </c>
      <c r="D39" s="19" t="n">
        <v>200</v>
      </c>
      <c r="E39" s="19" t="n">
        <v>300</v>
      </c>
      <c r="F39" s="19" t="n">
        <v>300</v>
      </c>
      <c r="G39" s="19" t="n">
        <v>200</v>
      </c>
      <c r="H39" s="19" t="n">
        <v>200</v>
      </c>
      <c r="I39" s="19" t="n">
        <v>150</v>
      </c>
      <c r="J39" s="19" t="n">
        <v>150</v>
      </c>
      <c r="K39" s="19" t="n">
        <v>300</v>
      </c>
      <c r="L39" s="19" t="n">
        <v>300</v>
      </c>
      <c r="M39" s="19" t="n">
        <v>200</v>
      </c>
      <c r="N39" s="19" t="n">
        <v>150</v>
      </c>
      <c r="O39" s="20">
        <f>SUM(C39:N39)</f>
        <v/>
      </c>
    </row>
    <row r="40">
      <c r="A40" s="18" t="inlineStr">
        <is>
          <t>Freelancer Entwicklung</t>
        </is>
      </c>
      <c r="B40" s="18" t="inlineStr">
        <is>
          <t>Kosten €</t>
        </is>
      </c>
      <c r="C40" s="19" t="n">
        <v>0</v>
      </c>
      <c r="D40" s="19" t="n">
        <v>0</v>
      </c>
      <c r="E40" s="19" t="n">
        <v>500</v>
      </c>
      <c r="F40" s="19" t="n">
        <v>0</v>
      </c>
      <c r="G40" s="19" t="n">
        <v>0</v>
      </c>
      <c r="H40" s="19" t="n">
        <v>500</v>
      </c>
      <c r="I40" s="19" t="n">
        <v>0</v>
      </c>
      <c r="J40" s="19" t="n">
        <v>0</v>
      </c>
      <c r="K40" s="19" t="n">
        <v>500</v>
      </c>
      <c r="L40" s="19" t="n">
        <v>0</v>
      </c>
      <c r="M40" s="19" t="n">
        <v>0</v>
      </c>
      <c r="N40" s="19" t="n">
        <v>0</v>
      </c>
      <c r="O40" s="20">
        <f>SUM(C40:N40)</f>
        <v/>
      </c>
    </row>
    <row r="41">
      <c r="A41" s="18" t="inlineStr">
        <is>
          <t>Web Development</t>
        </is>
      </c>
      <c r="B41" s="18" t="inlineStr">
        <is>
          <t>Kosten €</t>
        </is>
      </c>
      <c r="C41" s="19" t="n">
        <v>0</v>
      </c>
      <c r="D41" s="19" t="n">
        <v>0</v>
      </c>
      <c r="E41" s="19" t="n">
        <v>0</v>
      </c>
      <c r="F41" s="19" t="n">
        <v>500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500</v>
      </c>
      <c r="M41" s="19" t="n">
        <v>0</v>
      </c>
      <c r="N41" s="19" t="n">
        <v>0</v>
      </c>
      <c r="O41" s="20">
        <f>SUM(C41:N41)</f>
        <v/>
      </c>
    </row>
    <row r="42">
      <c r="A42" s="18" t="inlineStr">
        <is>
          <t>Messen/Events</t>
        </is>
      </c>
      <c r="B42" s="18" t="inlineStr">
        <is>
          <t>Kosten €</t>
        </is>
      </c>
      <c r="C42" s="19" t="n">
        <v>750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2000</v>
      </c>
      <c r="I42" s="19" t="n">
        <v>0</v>
      </c>
      <c r="J42" s="19" t="n">
        <v>0</v>
      </c>
      <c r="K42" s="19" t="n">
        <v>1500</v>
      </c>
      <c r="L42" s="19" t="n">
        <v>2000</v>
      </c>
      <c r="M42" s="19" t="n">
        <v>0</v>
      </c>
      <c r="N42" s="19" t="n">
        <v>0</v>
      </c>
      <c r="O42" s="20">
        <f>SUM(C42:N42)</f>
        <v/>
      </c>
    </row>
    <row r="43">
      <c r="A43" s="18" t="inlineStr">
        <is>
          <t>Werbemittel/Drucksachen</t>
        </is>
      </c>
      <c r="B43" s="18" t="inlineStr">
        <is>
          <t>Kosten €</t>
        </is>
      </c>
      <c r="C43" s="19" t="n">
        <v>200</v>
      </c>
      <c r="D43" s="19" t="n">
        <v>200</v>
      </c>
      <c r="E43" s="19" t="n">
        <v>300</v>
      </c>
      <c r="F43" s="19" t="n">
        <v>200</v>
      </c>
      <c r="G43" s="19" t="n">
        <v>300</v>
      </c>
      <c r="H43" s="19" t="n">
        <v>200</v>
      </c>
      <c r="I43" s="19" t="n">
        <v>200</v>
      </c>
      <c r="J43" s="19" t="n">
        <v>200</v>
      </c>
      <c r="K43" s="19" t="n">
        <v>200</v>
      </c>
      <c r="L43" s="19" t="n">
        <v>300</v>
      </c>
      <c r="M43" s="19" t="n">
        <v>200</v>
      </c>
      <c r="N43" s="19" t="n">
        <v>200</v>
      </c>
      <c r="O43" s="20">
        <f>SUM(C43:N43)</f>
        <v/>
      </c>
    </row>
    <row r="44">
      <c r="A44" s="18" t="inlineStr">
        <is>
          <t>Video/Content Produktion</t>
        </is>
      </c>
      <c r="B44" s="18" t="inlineStr">
        <is>
          <t>Kosten €</t>
        </is>
      </c>
      <c r="C44" s="19" t="n">
        <v>270</v>
      </c>
      <c r="D44" s="19" t="n">
        <v>0</v>
      </c>
      <c r="E44" s="19" t="n">
        <v>500</v>
      </c>
      <c r="F44" s="19" t="n">
        <v>0</v>
      </c>
      <c r="G44" s="19" t="n">
        <v>500</v>
      </c>
      <c r="H44" s="19" t="n">
        <v>0</v>
      </c>
      <c r="I44" s="19" t="n">
        <v>270</v>
      </c>
      <c r="J44" s="19" t="n">
        <v>0</v>
      </c>
      <c r="K44" s="19" t="n">
        <v>500</v>
      </c>
      <c r="L44" s="19" t="n">
        <v>500</v>
      </c>
      <c r="M44" s="19" t="n">
        <v>270</v>
      </c>
      <c r="N44" s="19" t="n">
        <v>0</v>
      </c>
      <c r="O44" s="20">
        <f>SUM(C44:N44)</f>
        <v/>
      </c>
    </row>
    <row r="45">
      <c r="A45" s="13" t="inlineStr">
        <is>
          <t>SUMME Investment</t>
        </is>
      </c>
      <c r="B45" s="14" t="n"/>
      <c r="C45" s="15">
        <f>C38+C39+C40+C41+C42+C43+C44</f>
        <v/>
      </c>
      <c r="D45" s="15">
        <f>D38+D39+D40+D41+D42+D43+D44</f>
        <v/>
      </c>
      <c r="E45" s="15">
        <f>E38+E39+E40+E41+E42+E43+E44</f>
        <v/>
      </c>
      <c r="F45" s="15">
        <f>F38+F39+F40+F41+F42+F43+F44</f>
        <v/>
      </c>
      <c r="G45" s="15">
        <f>G38+G39+G40+G41+G42+G43+G44</f>
        <v/>
      </c>
      <c r="H45" s="15">
        <f>H38+H39+H40+H41+H42+H43+H44</f>
        <v/>
      </c>
      <c r="I45" s="15">
        <f>I38+I39+I40+I41+I42+I43+I44</f>
        <v/>
      </c>
      <c r="J45" s="15">
        <f>J38+J39+J40+J41+J42+J43+J44</f>
        <v/>
      </c>
      <c r="K45" s="15">
        <f>K38+K39+K40+K41+K42+K43+K44</f>
        <v/>
      </c>
      <c r="L45" s="15">
        <f>L38+L39+L40+L41+L42+L43+L44</f>
        <v/>
      </c>
      <c r="M45" s="15">
        <f>M38+M39+M40+M41+M42+M43+M44</f>
        <v/>
      </c>
      <c r="N45" s="15">
        <f>N38+N39+N40+N41+N42+N43+N44</f>
        <v/>
      </c>
      <c r="O45" s="15">
        <f>O38+O39+O40+O41+O42+O43+O44</f>
        <v/>
      </c>
    </row>
    <row r="47">
      <c r="A47" s="21" t="inlineStr">
        <is>
          <t>GESAMTBUDGET</t>
        </is>
      </c>
      <c r="B47" s="5" t="n"/>
      <c r="C47" s="22">
        <f>C35+C45</f>
        <v/>
      </c>
      <c r="D47" s="22">
        <f>D35+D45</f>
        <v/>
      </c>
      <c r="E47" s="22">
        <f>E35+E45</f>
        <v/>
      </c>
      <c r="F47" s="22">
        <f>F35+F45</f>
        <v/>
      </c>
      <c r="G47" s="22">
        <f>G35+G45</f>
        <v/>
      </c>
      <c r="H47" s="22">
        <f>H35+H45</f>
        <v/>
      </c>
      <c r="I47" s="22">
        <f>I35+I45</f>
        <v/>
      </c>
      <c r="J47" s="22">
        <f>J35+J45</f>
        <v/>
      </c>
      <c r="K47" s="22">
        <f>K35+K45</f>
        <v/>
      </c>
      <c r="L47" s="22">
        <f>L35+L45</f>
        <v/>
      </c>
      <c r="M47" s="22">
        <f>M35+M45</f>
        <v/>
      </c>
      <c r="N47" s="22">
        <f>N35+N45</f>
        <v/>
      </c>
      <c r="O47" s="22">
        <f>O35+O45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Marketingplan 2026 – Microvista (NDT)</t>
        </is>
      </c>
    </row>
    <row r="2">
      <c r="A2" s="2" t="inlineStr">
        <is>
          <t>Ist 2025: 46,000 € | Plan 2026: 60,000 €</t>
        </is>
      </c>
    </row>
    <row r="4">
      <c r="A4" s="3" t="inlineStr">
        <is>
          <t>Kanal</t>
        </is>
      </c>
      <c r="B4" s="3" t="inlineStr">
        <is>
          <t>Metrik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Mär</t>
        </is>
      </c>
      <c r="F4" s="3" t="inlineStr">
        <is>
          <t>Apr</t>
        </is>
      </c>
      <c r="G4" s="3" t="inlineStr">
        <is>
          <t>Mai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Okt</t>
        </is>
      </c>
      <c r="M4" s="3" t="inlineStr">
        <is>
          <t>Nov</t>
        </is>
      </c>
      <c r="N4" s="3" t="inlineStr">
        <is>
          <t>Dez</t>
        </is>
      </c>
      <c r="O4" s="3" t="inlineStr">
        <is>
          <t>TOTAL</t>
        </is>
      </c>
    </row>
    <row r="5">
      <c r="A5" s="4" t="inlineStr">
        <is>
          <t>SEO Offpage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/>
      <c r="B6" s="7" t="inlineStr">
        <is>
          <t>Kosten €</t>
        </is>
      </c>
      <c r="C6" s="8" t="n">
        <v>150</v>
      </c>
      <c r="D6" s="8" t="n">
        <v>150</v>
      </c>
      <c r="E6" s="8" t="n">
        <v>150</v>
      </c>
      <c r="F6" s="8" t="n">
        <v>150</v>
      </c>
      <c r="G6" s="8" t="n">
        <v>150</v>
      </c>
      <c r="H6" s="8" t="n">
        <v>150</v>
      </c>
      <c r="I6" s="8" t="n">
        <v>150</v>
      </c>
      <c r="J6" s="8" t="n">
        <v>150</v>
      </c>
      <c r="K6" s="8" t="n">
        <v>150</v>
      </c>
      <c r="L6" s="8" t="n">
        <v>150</v>
      </c>
      <c r="M6" s="8" t="n">
        <v>150</v>
      </c>
      <c r="N6" s="8" t="n">
        <v>150</v>
      </c>
      <c r="O6" s="9">
        <f>SUM(C6:N6)</f>
        <v/>
      </c>
    </row>
    <row r="7">
      <c r="A7" t="inlineStr"/>
      <c r="B7" s="10" t="inlineStr">
        <is>
          <t>Traffic</t>
        </is>
      </c>
      <c r="C7" s="11" t="n">
        <v>80</v>
      </c>
      <c r="D7" s="11" t="n">
        <v>85</v>
      </c>
      <c r="E7" s="11" t="n">
        <v>95</v>
      </c>
      <c r="F7" s="11" t="n">
        <v>100</v>
      </c>
      <c r="G7" s="11" t="n">
        <v>110</v>
      </c>
      <c r="H7" s="11" t="n">
        <v>100</v>
      </c>
      <c r="I7" s="11" t="n">
        <v>90</v>
      </c>
      <c r="J7" s="11" t="n">
        <v>85</v>
      </c>
      <c r="K7" s="11" t="n">
        <v>100</v>
      </c>
      <c r="L7" s="11" t="n">
        <v>115</v>
      </c>
      <c r="M7" s="11" t="n">
        <v>105</v>
      </c>
      <c r="N7" s="11" t="n">
        <v>90</v>
      </c>
      <c r="O7" s="12">
        <f>SUM(C7:N7)</f>
        <v/>
      </c>
    </row>
    <row r="8">
      <c r="A8" s="4" t="inlineStr">
        <is>
          <t>SEO Onpage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inlineStr"/>
      <c r="B9" s="7" t="inlineStr">
        <is>
          <t>Kosten €</t>
        </is>
      </c>
      <c r="C9" s="8" t="n">
        <v>300</v>
      </c>
      <c r="D9" s="8" t="n">
        <v>300</v>
      </c>
      <c r="E9" s="8" t="n">
        <v>300</v>
      </c>
      <c r="F9" s="8" t="n">
        <v>300</v>
      </c>
      <c r="G9" s="8" t="n">
        <v>300</v>
      </c>
      <c r="H9" s="8" t="n">
        <v>300</v>
      </c>
      <c r="I9" s="8" t="n">
        <v>300</v>
      </c>
      <c r="J9" s="8" t="n">
        <v>300</v>
      </c>
      <c r="K9" s="8" t="n">
        <v>300</v>
      </c>
      <c r="L9" s="8" t="n">
        <v>300</v>
      </c>
      <c r="M9" s="8" t="n">
        <v>300</v>
      </c>
      <c r="N9" s="8" t="n">
        <v>300</v>
      </c>
      <c r="O9" s="9">
        <f>SUM(C9:N9)</f>
        <v/>
      </c>
    </row>
    <row r="10">
      <c r="A10" t="inlineStr"/>
      <c r="B10" s="10" t="inlineStr">
        <is>
          <t>Traffic</t>
        </is>
      </c>
      <c r="C10" s="11" t="n">
        <v>400</v>
      </c>
      <c r="D10" s="11" t="n">
        <v>430</v>
      </c>
      <c r="E10" s="11" t="n">
        <v>460</v>
      </c>
      <c r="F10" s="11" t="n">
        <v>490</v>
      </c>
      <c r="G10" s="11" t="n">
        <v>520</v>
      </c>
      <c r="H10" s="11" t="n">
        <v>500</v>
      </c>
      <c r="I10" s="11" t="n">
        <v>460</v>
      </c>
      <c r="J10" s="11" t="n">
        <v>430</v>
      </c>
      <c r="K10" s="11" t="n">
        <v>490</v>
      </c>
      <c r="L10" s="11" t="n">
        <v>540</v>
      </c>
      <c r="M10" s="11" t="n">
        <v>510</v>
      </c>
      <c r="N10" s="11" t="n">
        <v>460</v>
      </c>
      <c r="O10" s="12">
        <f>SUM(C10:N10)</f>
        <v/>
      </c>
    </row>
    <row r="11">
      <c r="A11" s="4" t="inlineStr">
        <is>
          <t>Content Marketing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inlineStr"/>
      <c r="B12" s="7" t="inlineStr">
        <is>
          <t>Kosten €</t>
        </is>
      </c>
      <c r="C12" s="8" t="n">
        <v>250</v>
      </c>
      <c r="D12" s="8" t="n">
        <v>250</v>
      </c>
      <c r="E12" s="8" t="n">
        <v>300</v>
      </c>
      <c r="F12" s="8" t="n">
        <v>300</v>
      </c>
      <c r="G12" s="8" t="n">
        <v>250</v>
      </c>
      <c r="H12" s="8" t="n">
        <v>250</v>
      </c>
      <c r="I12" s="8" t="n">
        <v>200</v>
      </c>
      <c r="J12" s="8" t="n">
        <v>200</v>
      </c>
      <c r="K12" s="8" t="n">
        <v>300</v>
      </c>
      <c r="L12" s="8" t="n">
        <v>300</v>
      </c>
      <c r="M12" s="8" t="n">
        <v>250</v>
      </c>
      <c r="N12" s="8" t="n">
        <v>200</v>
      </c>
      <c r="O12" s="9">
        <f>SUM(C12:N12)</f>
        <v/>
      </c>
    </row>
    <row r="13">
      <c r="A13" t="inlineStr"/>
      <c r="B13" s="10" t="inlineStr">
        <is>
          <t>Traffic</t>
        </is>
      </c>
      <c r="C13" s="11" t="n">
        <v>180</v>
      </c>
      <c r="D13" s="11" t="n">
        <v>190</v>
      </c>
      <c r="E13" s="11" t="n">
        <v>230</v>
      </c>
      <c r="F13" s="11" t="n">
        <v>240</v>
      </c>
      <c r="G13" s="11" t="n">
        <v>210</v>
      </c>
      <c r="H13" s="11" t="n">
        <v>200</v>
      </c>
      <c r="I13" s="11" t="n">
        <v>170</v>
      </c>
      <c r="J13" s="11" t="n">
        <v>150</v>
      </c>
      <c r="K13" s="11" t="n">
        <v>230</v>
      </c>
      <c r="L13" s="11" t="n">
        <v>260</v>
      </c>
      <c r="M13" s="11" t="n">
        <v>230</v>
      </c>
      <c r="N13" s="11" t="n">
        <v>180</v>
      </c>
      <c r="O13" s="12">
        <f>SUM(C13:N13)</f>
        <v/>
      </c>
    </row>
    <row r="14">
      <c r="A14" s="4" t="inlineStr">
        <is>
          <t>PPC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inlineStr"/>
      <c r="B15" s="7" t="inlineStr">
        <is>
          <t>Kosten €</t>
        </is>
      </c>
      <c r="C15" s="8" t="n">
        <v>2800</v>
      </c>
      <c r="D15" s="8" t="n">
        <v>2800</v>
      </c>
      <c r="E15" s="8" t="n">
        <v>3000</v>
      </c>
      <c r="F15" s="8" t="n">
        <v>3200</v>
      </c>
      <c r="G15" s="8" t="n">
        <v>3000</v>
      </c>
      <c r="H15" s="8" t="n">
        <v>2800</v>
      </c>
      <c r="I15" s="8" t="n">
        <v>2600</v>
      </c>
      <c r="J15" s="8" t="n">
        <v>2400</v>
      </c>
      <c r="K15" s="8" t="n">
        <v>3000</v>
      </c>
      <c r="L15" s="8" t="n">
        <v>3200</v>
      </c>
      <c r="M15" s="8" t="n">
        <v>3000</v>
      </c>
      <c r="N15" s="8" t="n">
        <v>2600</v>
      </c>
      <c r="O15" s="9">
        <f>SUM(C15:N15)</f>
        <v/>
      </c>
    </row>
    <row r="16">
      <c r="A16" t="inlineStr"/>
      <c r="B16" s="10" t="inlineStr">
        <is>
          <t>Traffic</t>
        </is>
      </c>
      <c r="C16" s="11" t="n">
        <v>800</v>
      </c>
      <c r="D16" s="11" t="n">
        <v>800</v>
      </c>
      <c r="E16" s="11" t="n">
        <v>900</v>
      </c>
      <c r="F16" s="11" t="n">
        <v>950</v>
      </c>
      <c r="G16" s="11" t="n">
        <v>900</v>
      </c>
      <c r="H16" s="11" t="n">
        <v>800</v>
      </c>
      <c r="I16" s="11" t="n">
        <v>750</v>
      </c>
      <c r="J16" s="11" t="n">
        <v>700</v>
      </c>
      <c r="K16" s="11" t="n">
        <v>900</v>
      </c>
      <c r="L16" s="11" t="n">
        <v>950</v>
      </c>
      <c r="M16" s="11" t="n">
        <v>900</v>
      </c>
      <c r="N16" s="11" t="n">
        <v>750</v>
      </c>
      <c r="O16" s="12">
        <f>SUM(C16:N16)</f>
        <v/>
      </c>
    </row>
    <row r="17">
      <c r="A17" t="inlineStr"/>
      <c r="B17" s="10" t="inlineStr">
        <is>
          <t>Views</t>
        </is>
      </c>
      <c r="C17" s="11" t="n">
        <v>12000</v>
      </c>
      <c r="D17" s="11" t="n">
        <v>12000</v>
      </c>
      <c r="E17" s="11" t="n">
        <v>13000</v>
      </c>
      <c r="F17" s="11" t="n">
        <v>14000</v>
      </c>
      <c r="G17" s="11" t="n">
        <v>13000</v>
      </c>
      <c r="H17" s="11" t="n">
        <v>12000</v>
      </c>
      <c r="I17" s="11" t="n">
        <v>11000</v>
      </c>
      <c r="J17" s="11" t="n">
        <v>10000</v>
      </c>
      <c r="K17" s="11" t="n">
        <v>13000</v>
      </c>
      <c r="L17" s="11" t="n">
        <v>14000</v>
      </c>
      <c r="M17" s="11" t="n">
        <v>13000</v>
      </c>
      <c r="N17" s="11" t="n">
        <v>11000</v>
      </c>
      <c r="O17" s="12">
        <f>SUM(C17:N17)</f>
        <v/>
      </c>
    </row>
    <row r="18">
      <c r="A18" s="4" t="inlineStr">
        <is>
          <t>CPM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/>
      <c r="B19" s="7" t="inlineStr">
        <is>
          <t>Kosten €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9">
        <f>SUM(C19:N19)</f>
        <v/>
      </c>
    </row>
    <row r="20">
      <c r="A20" t="inlineStr"/>
      <c r="B20" s="10" t="inlineStr">
        <is>
          <t>Traffic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2">
        <f>SUM(C20:N20)</f>
        <v/>
      </c>
    </row>
    <row r="21">
      <c r="A21" t="inlineStr"/>
      <c r="B21" s="10" t="inlineStr">
        <is>
          <t>Views</t>
        </is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2">
        <f>SUM(C21:N21)</f>
        <v/>
      </c>
    </row>
    <row r="22">
      <c r="A22" s="4" t="inlineStr">
        <is>
          <t>Retargeting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inlineStr"/>
      <c r="B23" s="7" t="inlineStr">
        <is>
          <t>Kosten €</t>
        </is>
      </c>
      <c r="C23" s="8" t="n">
        <v>100</v>
      </c>
      <c r="D23" s="8" t="n">
        <v>100</v>
      </c>
      <c r="E23" s="8" t="n">
        <v>120</v>
      </c>
      <c r="F23" s="8" t="n">
        <v>120</v>
      </c>
      <c r="G23" s="8" t="n">
        <v>120</v>
      </c>
      <c r="H23" s="8" t="n">
        <v>120</v>
      </c>
      <c r="I23" s="8" t="n">
        <v>100</v>
      </c>
      <c r="J23" s="8" t="n">
        <v>100</v>
      </c>
      <c r="K23" s="8" t="n">
        <v>120</v>
      </c>
      <c r="L23" s="8" t="n">
        <v>120</v>
      </c>
      <c r="M23" s="8" t="n">
        <v>120</v>
      </c>
      <c r="N23" s="8" t="n">
        <v>100</v>
      </c>
      <c r="O23" s="9">
        <f>SUM(C23:N23)</f>
        <v/>
      </c>
    </row>
    <row r="24">
      <c r="A24" t="inlineStr"/>
      <c r="B24" s="10" t="inlineStr">
        <is>
          <t>Traffic</t>
        </is>
      </c>
      <c r="C24" s="11" t="n">
        <v>60</v>
      </c>
      <c r="D24" s="11" t="n">
        <v>60</v>
      </c>
      <c r="E24" s="11" t="n">
        <v>75</v>
      </c>
      <c r="F24" s="11" t="n">
        <v>75</v>
      </c>
      <c r="G24" s="11" t="n">
        <v>75</v>
      </c>
      <c r="H24" s="11" t="n">
        <v>75</v>
      </c>
      <c r="I24" s="11" t="n">
        <v>60</v>
      </c>
      <c r="J24" s="11" t="n">
        <v>60</v>
      </c>
      <c r="K24" s="11" t="n">
        <v>75</v>
      </c>
      <c r="L24" s="11" t="n">
        <v>75</v>
      </c>
      <c r="M24" s="11" t="n">
        <v>75</v>
      </c>
      <c r="N24" s="11" t="n">
        <v>60</v>
      </c>
      <c r="O24" s="12">
        <f>SUM(C24:N24)</f>
        <v/>
      </c>
    </row>
    <row r="25">
      <c r="A25" t="inlineStr"/>
      <c r="B25" s="10" t="inlineStr">
        <is>
          <t>Views</t>
        </is>
      </c>
      <c r="C25" s="11" t="n">
        <v>2000</v>
      </c>
      <c r="D25" s="11" t="n">
        <v>2000</v>
      </c>
      <c r="E25" s="11" t="n">
        <v>2500</v>
      </c>
      <c r="F25" s="11" t="n">
        <v>2500</v>
      </c>
      <c r="G25" s="11" t="n">
        <v>2500</v>
      </c>
      <c r="H25" s="11" t="n">
        <v>2500</v>
      </c>
      <c r="I25" s="11" t="n">
        <v>2000</v>
      </c>
      <c r="J25" s="11" t="n">
        <v>2000</v>
      </c>
      <c r="K25" s="11" t="n">
        <v>2500</v>
      </c>
      <c r="L25" s="11" t="n">
        <v>2500</v>
      </c>
      <c r="M25" s="11" t="n">
        <v>2500</v>
      </c>
      <c r="N25" s="11" t="n">
        <v>2000</v>
      </c>
      <c r="O25" s="12">
        <f>SUM(C25:N25)</f>
        <v/>
      </c>
    </row>
    <row r="26">
      <c r="A26" s="4" t="inlineStr">
        <is>
          <t>Social Media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inlineStr"/>
      <c r="B27" s="7" t="inlineStr">
        <is>
          <t>Kosten €</t>
        </is>
      </c>
      <c r="C27" s="8" t="n">
        <v>150</v>
      </c>
      <c r="D27" s="8" t="n">
        <v>150</v>
      </c>
      <c r="E27" s="8" t="n">
        <v>200</v>
      </c>
      <c r="F27" s="8" t="n">
        <v>200</v>
      </c>
      <c r="G27" s="8" t="n">
        <v>200</v>
      </c>
      <c r="H27" s="8" t="n">
        <v>200</v>
      </c>
      <c r="I27" s="8" t="n">
        <v>150</v>
      </c>
      <c r="J27" s="8" t="n">
        <v>150</v>
      </c>
      <c r="K27" s="8" t="n">
        <v>200</v>
      </c>
      <c r="L27" s="8" t="n">
        <v>200</v>
      </c>
      <c r="M27" s="8" t="n">
        <v>200</v>
      </c>
      <c r="N27" s="8" t="n">
        <v>150</v>
      </c>
      <c r="O27" s="9">
        <f>SUM(C27:N27)</f>
        <v/>
      </c>
    </row>
    <row r="28">
      <c r="A28" t="inlineStr"/>
      <c r="B28" s="10" t="inlineStr">
        <is>
          <t>Likes</t>
        </is>
      </c>
      <c r="C28" s="11" t="n">
        <v>200</v>
      </c>
      <c r="D28" s="11" t="n">
        <v>210</v>
      </c>
      <c r="E28" s="11" t="n">
        <v>260</v>
      </c>
      <c r="F28" s="11" t="n">
        <v>270</v>
      </c>
      <c r="G28" s="11" t="n">
        <v>270</v>
      </c>
      <c r="H28" s="11" t="n">
        <v>270</v>
      </c>
      <c r="I28" s="11" t="n">
        <v>200</v>
      </c>
      <c r="J28" s="11" t="n">
        <v>200</v>
      </c>
      <c r="K28" s="11" t="n">
        <v>270</v>
      </c>
      <c r="L28" s="11" t="n">
        <v>270</v>
      </c>
      <c r="M28" s="11" t="n">
        <v>270</v>
      </c>
      <c r="N28" s="11" t="n">
        <v>200</v>
      </c>
      <c r="O28" s="12">
        <f>SUM(C28:N28)</f>
        <v/>
      </c>
    </row>
    <row r="29">
      <c r="A29" s="4" t="inlineStr">
        <is>
          <t>Newsletter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inlineStr"/>
      <c r="B30" s="7" t="inlineStr">
        <is>
          <t>Kosten €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9">
        <f>SUM(C30:N30)</f>
        <v/>
      </c>
    </row>
    <row r="31">
      <c r="A31" t="inlineStr"/>
      <c r="B31" s="10" t="inlineStr">
        <is>
          <t>Traffic</t>
        </is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2">
        <f>SUM(C31:N31)</f>
        <v/>
      </c>
    </row>
    <row r="32">
      <c r="A32" s="4" t="inlineStr">
        <is>
          <t>Conversion Optimization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inlineStr"/>
      <c r="B33" s="7" t="inlineStr">
        <is>
          <t>Kosten €</t>
        </is>
      </c>
      <c r="C33" s="8" t="n">
        <v>0</v>
      </c>
      <c r="D33" s="8" t="n">
        <v>0</v>
      </c>
      <c r="E33" s="8" t="n">
        <v>150</v>
      </c>
      <c r="F33" s="8" t="n">
        <v>0</v>
      </c>
      <c r="G33" s="8" t="n">
        <v>0</v>
      </c>
      <c r="H33" s="8" t="n">
        <v>150</v>
      </c>
      <c r="I33" s="8" t="n">
        <v>0</v>
      </c>
      <c r="J33" s="8" t="n">
        <v>0</v>
      </c>
      <c r="K33" s="8" t="n">
        <v>150</v>
      </c>
      <c r="L33" s="8" t="n">
        <v>0</v>
      </c>
      <c r="M33" s="8" t="n">
        <v>0</v>
      </c>
      <c r="N33" s="8" t="n">
        <v>0</v>
      </c>
      <c r="O33" s="9">
        <f>SUM(C33:N33)</f>
        <v/>
      </c>
    </row>
    <row r="34">
      <c r="A34" t="inlineStr"/>
      <c r="B34" s="10" t="inlineStr">
        <is>
          <t>Traffic</t>
        </is>
      </c>
      <c r="C34" s="11" t="n">
        <v>0</v>
      </c>
      <c r="D34" s="11" t="n">
        <v>0</v>
      </c>
      <c r="E34" s="11" t="n">
        <v>30</v>
      </c>
      <c r="F34" s="11" t="n">
        <v>0</v>
      </c>
      <c r="G34" s="11" t="n">
        <v>0</v>
      </c>
      <c r="H34" s="11" t="n">
        <v>30</v>
      </c>
      <c r="I34" s="11" t="n">
        <v>0</v>
      </c>
      <c r="J34" s="11" t="n">
        <v>0</v>
      </c>
      <c r="K34" s="11" t="n">
        <v>30</v>
      </c>
      <c r="L34" s="11" t="n">
        <v>0</v>
      </c>
      <c r="M34" s="11" t="n">
        <v>0</v>
      </c>
      <c r="N34" s="11" t="n">
        <v>0</v>
      </c>
      <c r="O34" s="12">
        <f>SUM(C34:N34)</f>
        <v/>
      </c>
    </row>
    <row r="35">
      <c r="A35" s="13" t="inlineStr">
        <is>
          <t>SUMME Marketing Maßnahmen</t>
        </is>
      </c>
      <c r="B35" s="14" t="n"/>
      <c r="C35" s="15">
        <f>C6+C9+C12+C15+C19+C23+C27+C30+C33</f>
        <v/>
      </c>
      <c r="D35" s="15">
        <f>D6+D9+D12+D15+D19+D23+D27+D30+D33</f>
        <v/>
      </c>
      <c r="E35" s="15">
        <f>E6+E9+E12+E15+E19+E23+E27+E30+E33</f>
        <v/>
      </c>
      <c r="F35" s="15">
        <f>F6+F9+F12+F15+F19+F23+F27+F30+F33</f>
        <v/>
      </c>
      <c r="G35" s="15">
        <f>G6+G9+G12+G15+G19+G23+G27+G30+G33</f>
        <v/>
      </c>
      <c r="H35" s="15">
        <f>H6+H9+H12+H15+H19+H23+H27+H30+H33</f>
        <v/>
      </c>
      <c r="I35" s="15">
        <f>I6+I9+I12+I15+I19+I23+I27+I30+I33</f>
        <v/>
      </c>
      <c r="J35" s="15">
        <f>J6+J9+J12+J15+J19+J23+J27+J30+J33</f>
        <v/>
      </c>
      <c r="K35" s="15">
        <f>K6+K9+K12+K15+K19+K23+K27+K30+K33</f>
        <v/>
      </c>
      <c r="L35" s="15">
        <f>L6+L9+L12+L15+L19+L23+L27+L30+L33</f>
        <v/>
      </c>
      <c r="M35" s="15">
        <f>M6+M9+M12+M15+M19+M23+M27+M30+M33</f>
        <v/>
      </c>
      <c r="N35" s="15">
        <f>N6+N9+N12+N15+N19+N23+N27+N30+N33</f>
        <v/>
      </c>
      <c r="O35" s="15">
        <f>O6+O9+O12+O15+O19+O23+O27+O30+O33</f>
        <v/>
      </c>
    </row>
    <row r="37">
      <c r="A37" s="16" t="inlineStr">
        <is>
          <t>Investment / Consulting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8" t="inlineStr">
        <is>
          <t>Agenturkosten Ads</t>
        </is>
      </c>
      <c r="B38" s="18" t="inlineStr">
        <is>
          <t>Kosten €</t>
        </is>
      </c>
      <c r="C38" s="19" t="n">
        <v>500</v>
      </c>
      <c r="D38" s="19" t="n">
        <v>500</v>
      </c>
      <c r="E38" s="19" t="n">
        <v>500</v>
      </c>
      <c r="F38" s="19" t="n">
        <v>500</v>
      </c>
      <c r="G38" s="19" t="n">
        <v>500</v>
      </c>
      <c r="H38" s="19" t="n">
        <v>500</v>
      </c>
      <c r="I38" s="19" t="n">
        <v>500</v>
      </c>
      <c r="J38" s="19" t="n">
        <v>500</v>
      </c>
      <c r="K38" s="19" t="n">
        <v>500</v>
      </c>
      <c r="L38" s="19" t="n">
        <v>500</v>
      </c>
      <c r="M38" s="19" t="n">
        <v>500</v>
      </c>
      <c r="N38" s="19" t="n">
        <v>500</v>
      </c>
      <c r="O38" s="20">
        <f>SUM(C38:N38)</f>
        <v/>
      </c>
    </row>
    <row r="39">
      <c r="A39" s="18" t="inlineStr">
        <is>
          <t>Freelancer Grafik</t>
        </is>
      </c>
      <c r="B39" s="18" t="inlineStr">
        <is>
          <t>Kosten €</t>
        </is>
      </c>
      <c r="C39" s="19" t="n">
        <v>100</v>
      </c>
      <c r="D39" s="19" t="n">
        <v>100</v>
      </c>
      <c r="E39" s="19" t="n">
        <v>200</v>
      </c>
      <c r="F39" s="19" t="n">
        <v>200</v>
      </c>
      <c r="G39" s="19" t="n">
        <v>100</v>
      </c>
      <c r="H39" s="19" t="n">
        <v>100</v>
      </c>
      <c r="I39" s="19" t="n">
        <v>100</v>
      </c>
      <c r="J39" s="19" t="n">
        <v>100</v>
      </c>
      <c r="K39" s="19" t="n">
        <v>200</v>
      </c>
      <c r="L39" s="19" t="n">
        <v>200</v>
      </c>
      <c r="M39" s="19" t="n">
        <v>100</v>
      </c>
      <c r="N39" s="19" t="n">
        <v>100</v>
      </c>
      <c r="O39" s="20">
        <f>SUM(C39:N39)</f>
        <v/>
      </c>
    </row>
    <row r="40">
      <c r="A40" s="18" t="inlineStr">
        <is>
          <t>Freelancer Entwicklung</t>
        </is>
      </c>
      <c r="B40" s="18" t="inlineStr">
        <is>
          <t>Kosten €</t>
        </is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0</v>
      </c>
      <c r="O40" s="20">
        <f>SUM(C40:N40)</f>
        <v/>
      </c>
    </row>
    <row r="41">
      <c r="A41" s="18" t="inlineStr">
        <is>
          <t>Web Development</t>
        </is>
      </c>
      <c r="B41" s="18" t="inlineStr">
        <is>
          <t>Kosten €</t>
        </is>
      </c>
      <c r="C41" s="19" t="n">
        <v>0</v>
      </c>
      <c r="D41" s="19" t="n">
        <v>0</v>
      </c>
      <c r="E41" s="19" t="n">
        <v>0</v>
      </c>
      <c r="F41" s="19" t="n">
        <v>500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500</v>
      </c>
      <c r="M41" s="19" t="n">
        <v>0</v>
      </c>
      <c r="N41" s="19" t="n">
        <v>0</v>
      </c>
      <c r="O41" s="20">
        <f>SUM(C41:N41)</f>
        <v/>
      </c>
    </row>
    <row r="42">
      <c r="A42" s="18" t="inlineStr">
        <is>
          <t>Messen/Events</t>
        </is>
      </c>
      <c r="B42" s="18" t="inlineStr">
        <is>
          <t>Kosten €</t>
        </is>
      </c>
      <c r="C42" s="19" t="n">
        <v>0</v>
      </c>
      <c r="D42" s="19" t="n">
        <v>0</v>
      </c>
      <c r="E42" s="19" t="n">
        <v>2000</v>
      </c>
      <c r="F42" s="19" t="n">
        <v>2000</v>
      </c>
      <c r="G42" s="19" t="n">
        <v>0</v>
      </c>
      <c r="H42" s="19" t="n">
        <v>0</v>
      </c>
      <c r="I42" s="19" t="n">
        <v>0</v>
      </c>
      <c r="J42" s="19" t="n">
        <v>0</v>
      </c>
      <c r="K42" s="19" t="n">
        <v>0</v>
      </c>
      <c r="L42" s="19" t="n">
        <v>0</v>
      </c>
      <c r="M42" s="19" t="n">
        <v>0</v>
      </c>
      <c r="N42" s="19" t="n">
        <v>0</v>
      </c>
      <c r="O42" s="20">
        <f>SUM(C42:N42)</f>
        <v/>
      </c>
    </row>
    <row r="43">
      <c r="A43" s="18" t="inlineStr">
        <is>
          <t>Werbemittel/Drucksachen</t>
        </is>
      </c>
      <c r="B43" s="18" t="inlineStr">
        <is>
          <t>Kosten €</t>
        </is>
      </c>
      <c r="C43" s="19" t="n">
        <v>100</v>
      </c>
      <c r="D43" s="19" t="n">
        <v>100</v>
      </c>
      <c r="E43" s="19" t="n">
        <v>200</v>
      </c>
      <c r="F43" s="19" t="n">
        <v>200</v>
      </c>
      <c r="G43" s="19" t="n">
        <v>100</v>
      </c>
      <c r="H43" s="19" t="n">
        <v>100</v>
      </c>
      <c r="I43" s="19" t="n">
        <v>100</v>
      </c>
      <c r="J43" s="19" t="n">
        <v>100</v>
      </c>
      <c r="K43" s="19" t="n">
        <v>100</v>
      </c>
      <c r="L43" s="19" t="n">
        <v>200</v>
      </c>
      <c r="M43" s="19" t="n">
        <v>100</v>
      </c>
      <c r="N43" s="19" t="n">
        <v>100</v>
      </c>
      <c r="O43" s="20">
        <f>SUM(C43:N43)</f>
        <v/>
      </c>
    </row>
    <row r="44">
      <c r="A44" s="18" t="inlineStr">
        <is>
          <t>Video/Content Produktion</t>
        </is>
      </c>
      <c r="B44" s="18" t="inlineStr">
        <is>
          <t>Kosten €</t>
        </is>
      </c>
      <c r="C44" s="19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20">
        <f>SUM(C44:N44)</f>
        <v/>
      </c>
    </row>
    <row r="45">
      <c r="A45" s="13" t="inlineStr">
        <is>
          <t>SUMME Investment</t>
        </is>
      </c>
      <c r="B45" s="14" t="n"/>
      <c r="C45" s="15">
        <f>C38+C39+C40+C41+C42+C43+C44</f>
        <v/>
      </c>
      <c r="D45" s="15">
        <f>D38+D39+D40+D41+D42+D43+D44</f>
        <v/>
      </c>
      <c r="E45" s="15">
        <f>E38+E39+E40+E41+E42+E43+E44</f>
        <v/>
      </c>
      <c r="F45" s="15">
        <f>F38+F39+F40+F41+F42+F43+F44</f>
        <v/>
      </c>
      <c r="G45" s="15">
        <f>G38+G39+G40+G41+G42+G43+G44</f>
        <v/>
      </c>
      <c r="H45" s="15">
        <f>H38+H39+H40+H41+H42+H43+H44</f>
        <v/>
      </c>
      <c r="I45" s="15">
        <f>I38+I39+I40+I41+I42+I43+I44</f>
        <v/>
      </c>
      <c r="J45" s="15">
        <f>J38+J39+J40+J41+J42+J43+J44</f>
        <v/>
      </c>
      <c r="K45" s="15">
        <f>K38+K39+K40+K41+K42+K43+K44</f>
        <v/>
      </c>
      <c r="L45" s="15">
        <f>L38+L39+L40+L41+L42+L43+L44</f>
        <v/>
      </c>
      <c r="M45" s="15">
        <f>M38+M39+M40+M41+M42+M43+M44</f>
        <v/>
      </c>
      <c r="N45" s="15">
        <f>N38+N39+N40+N41+N42+N43+N44</f>
        <v/>
      </c>
      <c r="O45" s="15">
        <f>O38+O39+O40+O41+O42+O43+O44</f>
        <v/>
      </c>
    </row>
    <row r="47">
      <c r="A47" s="21" t="inlineStr">
        <is>
          <t>GESAMTBUDGET</t>
        </is>
      </c>
      <c r="B47" s="5" t="n"/>
      <c r="C47" s="22">
        <f>C35+C45</f>
        <v/>
      </c>
      <c r="D47" s="22">
        <f>D35+D45</f>
        <v/>
      </c>
      <c r="E47" s="22">
        <f>E35+E45</f>
        <v/>
      </c>
      <c r="F47" s="22">
        <f>F35+F45</f>
        <v/>
      </c>
      <c r="G47" s="22">
        <f>G35+G45</f>
        <v/>
      </c>
      <c r="H47" s="22">
        <f>H35+H45</f>
        <v/>
      </c>
      <c r="I47" s="22">
        <f>I35+I45</f>
        <v/>
      </c>
      <c r="J47" s="22">
        <f>J35+J45</f>
        <v/>
      </c>
      <c r="K47" s="22">
        <f>K35+K45</f>
        <v/>
      </c>
      <c r="L47" s="22">
        <f>L35+L45</f>
        <v/>
      </c>
      <c r="M47" s="22">
        <f>M35+M45</f>
        <v/>
      </c>
      <c r="N47" s="22">
        <f>N35+N45</f>
        <v/>
      </c>
      <c r="O47" s="22">
        <f>O35+O45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Budgetübersicht 2026 – Alle Brands</t>
        </is>
      </c>
    </row>
    <row r="3">
      <c r="A3" s="23" t="inlineStr">
        <is>
          <t>Brand</t>
        </is>
      </c>
      <c r="B3" s="23" t="inlineStr">
        <is>
          <t>Jan</t>
        </is>
      </c>
      <c r="C3" s="23" t="inlineStr">
        <is>
          <t>Feb</t>
        </is>
      </c>
      <c r="D3" s="23" t="inlineStr">
        <is>
          <t>Mär</t>
        </is>
      </c>
      <c r="E3" s="23" t="inlineStr">
        <is>
          <t>Apr</t>
        </is>
      </c>
      <c r="F3" s="23" t="inlineStr">
        <is>
          <t>Mai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Okt</t>
        </is>
      </c>
      <c r="L3" s="23" t="inlineStr">
        <is>
          <t>Nov</t>
        </is>
      </c>
      <c r="M3" s="23" t="inlineStr">
        <is>
          <t>Dez</t>
        </is>
      </c>
      <c r="N3" s="23" t="inlineStr">
        <is>
          <t>TOTAL</t>
        </is>
      </c>
    </row>
    <row r="4">
      <c r="A4" s="24" t="inlineStr">
        <is>
          <t>Baustellenkameras (BauTV+)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>
      <c r="A5" s="24" t="inlineStr">
        <is>
          <t>Bodycam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</row>
    <row r="6">
      <c r="A6" s="24" t="inlineStr">
        <is>
          <t>Microvista (NDT)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</row>
    <row r="7">
      <c r="A7" s="26" t="inlineStr">
        <is>
          <t>GESAMTBUDGET</t>
        </is>
      </c>
      <c r="B7" s="22">
        <f>SUM(B4:B6)</f>
        <v/>
      </c>
      <c r="C7" s="22">
        <f>SUM(C4:C6)</f>
        <v/>
      </c>
      <c r="D7" s="22">
        <f>SUM(D4:D6)</f>
        <v/>
      </c>
      <c r="E7" s="22">
        <f>SUM(E4:E6)</f>
        <v/>
      </c>
      <c r="F7" s="22">
        <f>SUM(F4:F6)</f>
        <v/>
      </c>
      <c r="G7" s="22">
        <f>SUM(G4:G6)</f>
        <v/>
      </c>
      <c r="H7" s="22">
        <f>SUM(H4:H6)</f>
        <v/>
      </c>
      <c r="I7" s="22">
        <f>SUM(I4:I6)</f>
        <v/>
      </c>
      <c r="J7" s="22">
        <f>SUM(J4:J6)</f>
        <v/>
      </c>
      <c r="K7" s="22">
        <f>SUM(K4:K6)</f>
        <v/>
      </c>
      <c r="L7" s="22">
        <f>SUM(L4:L6)</f>
        <v/>
      </c>
      <c r="M7" s="22">
        <f>SUM(M4:M6)</f>
        <v/>
      </c>
      <c r="N7" s="22">
        <f>SUM(N4:N6)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2026-02-16T02:48:27Z</dcterms:created>
  <dcterms:modified xmlns:dcterms="http://purl.org/dc/terms/" xmlns:xsi="http://www.w3.org/2001/XMLSchema-instance" xsi:type="dcterms:W3CDTF">2026-02-16T02:48:27Z</dcterms:modified>
</cp:coreProperties>
</file>